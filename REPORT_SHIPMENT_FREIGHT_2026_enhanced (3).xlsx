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 - SEA" sheetId="1" state="visible" r:id="rId3"/>
    <sheet name="FEB-AIR" sheetId="2" state="visible" r:id="rId4"/>
    <sheet name="MAR - SEA " sheetId="3" state="visible" r:id="rId5"/>
    <sheet name="MAR-AIR " sheetId="4" state="visible" r:id="rId6"/>
    <sheet name="APR-SEA" sheetId="5" state="visible" r:id="rId7"/>
    <sheet name="APR-AIR" sheetId="6" state="visible" r:id="rId8"/>
  </sheets>
  <definedNames>
    <definedName function="false" hidden="false" localSheetId="0" name="_xlnm.Print_Area" vbProcedure="false">'FEB - SEA'!$A$1:$Z$35</definedName>
    <definedName function="false" hidden="true" localSheetId="0" name="_xlnm._FilterDatabase" vbProcedure="false">'FEB - SEA'!$A$1:$AB$34</definedName>
    <definedName function="false" hidden="false" localSheetId="2" name="_xlnm.Print_Area" vbProcedure="false">'MAR - SEA '!$B$1:$Z$12</definedName>
    <definedName function="false" hidden="true" localSheetId="2" name="_xlnm._FilterDatabase" vbProcedure="false">'MAR - SEA '!$A$1:$AB$16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<sst xmlns="http://schemas.openxmlformats.org/spreadsheetml/2006/main" count="1281" uniqueCount="508">
  <si>
    <t xml:space="preserve">NO.</t>
  </si>
  <si>
    <t xml:space="preserve">CONSIGNEE</t>
  </si>
  <si>
    <t xml:space="preserve">SHIPPER</t>
  </si>
  <si>
    <t xml:space="preserve">POL</t>
  </si>
  <si>
    <t xml:space="preserve">POD</t>
  </si>
  <si>
    <t xml:space="preserve">TERM</t>
  </si>
  <si>
    <t xml:space="preserve">AGENT </t>
  </si>
  <si>
    <t xml:space="preserve">CNEE CFM</t>
  </si>
  <si>
    <t xml:space="preserve">ETD</t>
  </si>
  <si>
    <t xml:space="preserve">ETA</t>
  </si>
  <si>
    <t xml:space="preserve">ATA</t>
  </si>
  <si>
    <t xml:space="preserve">FCL/LCL</t>
  </si>
  <si>
    <t xml:space="preserve">F/T</t>
  </si>
  <si>
    <t xml:space="preserve">Q'TY</t>
  </si>
  <si>
    <t xml:space="preserve">G.W./C.W.</t>
  </si>
  <si>
    <t xml:space="preserve">CBM/ CTNR</t>
  </si>
  <si>
    <t xml:space="preserve">OCEAN VESSEL / FLIGHT</t>
  </si>
  <si>
    <t xml:space="preserve">INV. / B/L</t>
  </si>
  <si>
    <t xml:space="preserve">INSURANCE</t>
  </si>
  <si>
    <t xml:space="preserve">PREVILLAGE</t>
  </si>
  <si>
    <t xml:space="preserve">RCV F/E/AK/BOI </t>
  </si>
  <si>
    <t xml:space="preserve">RCV INV/PL</t>
  </si>
  <si>
    <t xml:space="preserve">SEND P/A</t>
  </si>
  <si>
    <t xml:space="preserve">CLEAR</t>
  </si>
  <si>
    <t xml:space="preserve">DELIVERY</t>
  </si>
  <si>
    <t xml:space="preserve">REMARKS</t>
  </si>
  <si>
    <t xml:space="preserve">F</t>
  </si>
  <si>
    <t xml:space="preserve">S</t>
  </si>
  <si>
    <t xml:space="preserve">NOTE</t>
  </si>
  <si>
    <t xml:space="preserve">OTD STATUS ✦</t>
  </si>
  <si>
    <t xml:space="preserve">RESP DAYS ✦</t>
  </si>
  <si>
    <t xml:space="preserve">DELAY DAYS ✦</t>
  </si>
  <si>
    <t xml:space="preserve">JOB STATUS ✦</t>
  </si>
  <si>
    <t xml:space="preserve">BILLING
DATE</t>
  </si>
  <si>
    <t xml:space="preserve">BILLING NO.</t>
  </si>
  <si>
    <t xml:space="preserve">BILLING AMT
(THB)</t>
  </si>
  <si>
    <t xml:space="preserve">BILLING
STATUS</t>
  </si>
  <si>
    <t xml:space="preserve">HAM HEART</t>
  </si>
  <si>
    <t xml:space="preserve">SHT  ELECTRONICS</t>
  </si>
  <si>
    <t xml:space="preserve">SHENZHEN </t>
  </si>
  <si>
    <t xml:space="preserve">BKK</t>
  </si>
  <si>
    <t xml:space="preserve">EXW</t>
  </si>
  <si>
    <t xml:space="preserve">ZHL</t>
  </si>
  <si>
    <t xml:space="preserve">-</t>
  </si>
  <si>
    <t xml:space="preserve">LCL</t>
  </si>
  <si>
    <t xml:space="preserve">52 C/T</t>
  </si>
  <si>
    <t xml:space="preserve">860.000 KGS</t>
  </si>
  <si>
    <t xml:space="preserve">3.900 M3</t>
  </si>
  <si>
    <t xml:space="preserve">SKY CHALLENGE | 2601S</t>
  </si>
  <si>
    <t xml:space="preserve">SHT-20260105 | ECJPLCL260100398</t>
  </si>
  <si>
    <t xml:space="preserve">DUTY</t>
  </si>
  <si>
    <t xml:space="preserve">เคลียร์สินค้าเรียบร้อย</t>
  </si>
  <si>
    <t xml:space="preserve">แพมจัด ชุดแล้ว</t>
  </si>
  <si>
    <t xml:space="preserve">MATH MARK (FUJIAN)</t>
  </si>
  <si>
    <t xml:space="preserve">FOB</t>
  </si>
  <si>
    <t xml:space="preserve">78 C/T</t>
  </si>
  <si>
    <t xml:space="preserve">1146.500 KGS</t>
  </si>
  <si>
    <t xml:space="preserve">5.58 M3</t>
  </si>
  <si>
    <t xml:space="preserve">WAN HAI 276 | S055</t>
  </si>
  <si>
    <t xml:space="preserve">20260105 | ECJPLCL260100219</t>
  </si>
  <si>
    <t xml:space="preserve">แพมจัด ชุดแล้ว	</t>
  </si>
  <si>
    <t xml:space="preserve">YANTON</t>
  </si>
  <si>
    <t xml:space="preserve">95 C/T</t>
  </si>
  <si>
    <t xml:space="preserve">1150.000 KGS</t>
  </si>
  <si>
    <t xml:space="preserve">6.500 M3</t>
  </si>
  <si>
    <t xml:space="preserve">TS KWANGYANG | 26002S </t>
  </si>
  <si>
    <t xml:space="preserve">PI20260105A01 | ECJPLCL260100358</t>
  </si>
  <si>
    <t xml:space="preserve">รอเคลียร์สินค้า </t>
  </si>
  <si>
    <t xml:space="preserve">แพมจัด ชุดแล้ว				</t>
  </si>
  <si>
    <t xml:space="preserve">DAO COFFEE BEANS </t>
  </si>
  <si>
    <t xml:space="preserve">YIWU QIANNUO (TXY)</t>
  </si>
  <si>
    <t xml:space="preserve">NINGBO SUNRISE</t>
  </si>
  <si>
    <t xml:space="preserve">79 C/T</t>
  </si>
  <si>
    <t xml:space="preserve">163.5 KGS.</t>
  </si>
  <si>
    <t xml:space="preserve">3.745 M3</t>
  </si>
  <si>
    <t xml:space="preserve">ANBIEN SKY | S025</t>
  </si>
  <si>
    <t xml:space="preserve">TXY202551225-01 | NBXCL2601131</t>
  </si>
  <si>
    <t xml:space="preserve">FORM E</t>
  </si>
  <si>
    <t xml:space="preserve">ได้ coppy form e แล้ว  DHL:  52 3713 0500</t>
  </si>
  <si>
    <t xml:space="preserve">แนนจัดชุดแล้ว</t>
  </si>
  <si>
    <t xml:space="preserve">125 C/T</t>
  </si>
  <si>
    <t xml:space="preserve">390KGS</t>
  </si>
  <si>
    <t xml:space="preserve">9.5 M3</t>
  </si>
  <si>
    <t xml:space="preserve">WAN HAI 172 | S405 </t>
  </si>
  <si>
    <t xml:space="preserve">TXY20251225-03 | NBXCL2602010</t>
  </si>
  <si>
    <t xml:space="preserve">เฟิร์มFORM E</t>
  </si>
  <si>
    <t xml:space="preserve">แพมจัดชุดแล้ว				</t>
  </si>
  <si>
    <t xml:space="preserve">YIWU QIANNUO (MYTH)</t>
  </si>
  <si>
    <t xml:space="preserve">43 C/T</t>
  </si>
  <si>
    <t xml:space="preserve">319.5KGS</t>
  </si>
  <si>
    <t xml:space="preserve">5.523 M3</t>
  </si>
  <si>
    <t xml:space="preserve">ANBIEN SKY |S025</t>
  </si>
  <si>
    <t xml:space="preserve"> WBB260130 |NBXCL2601071</t>
  </si>
  <si>
    <t xml:space="preserve">ได้ coppy form e แล้วDHL: 40 6760 5533</t>
  </si>
  <si>
    <t xml:space="preserve">DEBIT NOTE มีแก้ไข | แนนจัดชุดแล้ว</t>
  </si>
  <si>
    <t xml:space="preserve">GUANGZHOU TAIHUIHUAN (QZJ)</t>
  </si>
  <si>
    <t xml:space="preserve">SHEKOU</t>
  </si>
  <si>
    <t xml:space="preserve">TRANS-POWER</t>
  </si>
  <si>
    <t xml:space="preserve">1 X 40'HQ</t>
  </si>
  <si>
    <t xml:space="preserve">14 + 7</t>
  </si>
  <si>
    <t xml:space="preserve">459 C/T</t>
  </si>
  <si>
    <t xml:space="preserve">4307.20 KGS</t>
  </si>
  <si>
    <t xml:space="preserve">52.510 M3</t>
  </si>
  <si>
    <t xml:space="preserve">TS KWANGYANG | S602</t>
  </si>
  <si>
    <t xml:space="preserve">BTB2026020201 | XM26020084</t>
  </si>
  <si>
    <t xml:space="preserve">รอเรือเข้า / TISI / FE</t>
  </si>
  <si>
    <t xml:space="preserve">SIAM NP</t>
  </si>
  <si>
    <t xml:space="preserve">SKYLAND </t>
  </si>
  <si>
    <t xml:space="preserve">SHANGHAI</t>
  </si>
  <si>
    <t xml:space="preserve">UNITEX </t>
  </si>
  <si>
    <t xml:space="preserve">488 C/T</t>
  </si>
  <si>
    <t xml:space="preserve">6622.160 KGS</t>
  </si>
  <si>
    <t xml:space="preserve">69.740 M3</t>
  </si>
  <si>
    <t xml:space="preserve">KHUNA BHUM | 075S</t>
  </si>
  <si>
    <t xml:space="preserve">ZSL26T55077 | SHPAT26001797</t>
  </si>
  <si>
    <t xml:space="preserve">รอเรือเข้า </t>
  </si>
  <si>
    <t xml:space="preserve">กันต์จัดชุดแล้ว 				</t>
  </si>
  <si>
    <t xml:space="preserve">PSM</t>
  </si>
  <si>
    <t xml:space="preserve">QUANZHOU EVERSUCCESS BAG</t>
  </si>
  <si>
    <t xml:space="preserve">XIAMEN</t>
  </si>
  <si>
    <t xml:space="preserve">NINGBO QIFENG </t>
  </si>
  <si>
    <t xml:space="preserve">33 BOXS</t>
  </si>
  <si>
    <t xml:space="preserve">367.200 KGS</t>
  </si>
  <si>
    <t xml:space="preserve">1.483 M3</t>
  </si>
  <si>
    <t xml:space="preserve">INDURO | 2606S </t>
  </si>
  <si>
    <t xml:space="preserve">ESE251219 | NBQF26020003</t>
  </si>
  <si>
    <t xml:space="preserve">BOI</t>
  </si>
  <si>
    <t xml:space="preserve">รอเคลียร์สินค้า แล้ว 19/02/26</t>
  </si>
  <si>
    <t xml:space="preserve">GIANTFORM </t>
  </si>
  <si>
    <t xml:space="preserve">KEELUNG</t>
  </si>
  <si>
    <t xml:space="preserve">LCB</t>
  </si>
  <si>
    <t xml:space="preserve">COOP </t>
  </si>
  <si>
    <t xml:space="preserve">132 BALES</t>
  </si>
  <si>
    <t xml:space="preserve">2329.400 KGS</t>
  </si>
  <si>
    <t xml:space="preserve">9.850 M3</t>
  </si>
  <si>
    <t xml:space="preserve">YM INCEPTION | 241S</t>
  </si>
  <si>
    <t xml:space="preserve">PSM-2601  | KEELAG202601005</t>
  </si>
  <si>
    <t xml:space="preserve">SAN CHEMICAL </t>
  </si>
  <si>
    <t xml:space="preserve">KOBE</t>
  </si>
  <si>
    <t xml:space="preserve">APEX</t>
  </si>
  <si>
    <t xml:space="preserve">4 C/T</t>
  </si>
  <si>
    <t xml:space="preserve">67.400 KGS</t>
  </si>
  <si>
    <t xml:space="preserve">0.227 M3</t>
  </si>
  <si>
    <t xml:space="preserve">NYK PAULA | 1030S</t>
  </si>
  <si>
    <t xml:space="preserve">M226016 | OA260129H08</t>
  </si>
  <si>
    <t xml:space="preserve">TRUEWAY</t>
  </si>
  <si>
    <t xml:space="preserve">6 ROLLS</t>
  </si>
  <si>
    <t xml:space="preserve">94.300 KGS</t>
  </si>
  <si>
    <t xml:space="preserve">0.650 M3</t>
  </si>
  <si>
    <t xml:space="preserve">20260123-N1 | KEELAG2026010052</t>
  </si>
  <si>
    <t xml:space="preserve">WAIKEE</t>
  </si>
  <si>
    <t xml:space="preserve">16 PKGS</t>
  </si>
  <si>
    <t xml:space="preserve">456.000 KGS</t>
  </si>
  <si>
    <t xml:space="preserve">0.721 M3</t>
  </si>
  <si>
    <t xml:space="preserve">STARSHIP AQUILA | 2601S</t>
  </si>
  <si>
    <t xml:space="preserve"> 25022, 25023, 26001  | HANL26010875</t>
  </si>
  <si>
    <t xml:space="preserve">HENGHUI</t>
  </si>
  <si>
    <t xml:space="preserve">7 C/T </t>
  </si>
  <si>
    <t xml:space="preserve">112.499 KGS</t>
  </si>
  <si>
    <t xml:space="preserve">0.319 M3</t>
  </si>
  <si>
    <t xml:space="preserve">JARU BHUM | 163S</t>
  </si>
  <si>
    <t xml:space="preserve">202601201 | NBXCL2601067</t>
  </si>
  <si>
    <t xml:space="preserve">WINBOSS</t>
  </si>
  <si>
    <t xml:space="preserve">14 C/T</t>
  </si>
  <si>
    <t xml:space="preserve">658.000 KGS</t>
  </si>
  <si>
    <t xml:space="preserve">15.460 M3</t>
  </si>
  <si>
    <t xml:space="preserve">YM IMPROVMENT | 296S</t>
  </si>
  <si>
    <t xml:space="preserve">WB-260116V2 | KEELAG2026010035 </t>
  </si>
  <si>
    <t xml:space="preserve">JAKO </t>
  </si>
  <si>
    <t xml:space="preserve">BUSAN</t>
  </si>
  <si>
    <t xml:space="preserve">ALLTA KR</t>
  </si>
  <si>
    <t xml:space="preserve">1 PLT</t>
  </si>
  <si>
    <t xml:space="preserve">127.000 KGS</t>
  </si>
  <si>
    <t xml:space="preserve">1.280 M3</t>
  </si>
  <si>
    <t xml:space="preserve">SAWASDEE INCHEON | 2601S</t>
  </si>
  <si>
    <t xml:space="preserve">JK-2026-00101 | AASK26020495</t>
  </si>
  <si>
    <t xml:space="preserve">AMERICAN</t>
  </si>
  <si>
    <t xml:space="preserve">HKG</t>
  </si>
  <si>
    <t xml:space="preserve">UNITEX (HK)</t>
  </si>
  <si>
    <t xml:space="preserve">8 C/T</t>
  </si>
  <si>
    <t xml:space="preserve">82.220 KGS</t>
  </si>
  <si>
    <t xml:space="preserve">0.390 M3</t>
  </si>
  <si>
    <t xml:space="preserve">STARSHIP URSA | 2601S</t>
  </si>
  <si>
    <t xml:space="preserve">RI26000879-83 | LPIALCH260283</t>
  </si>
  <si>
    <t xml:space="preserve">JUN YUN</t>
  </si>
  <si>
    <t xml:space="preserve">QINGDAO</t>
  </si>
  <si>
    <t xml:space="preserve">JOHAN FREIGHT</t>
  </si>
  <si>
    <t xml:space="preserve">3 C/T</t>
  </si>
  <si>
    <t xml:space="preserve">70.860 KGS</t>
  </si>
  <si>
    <t xml:space="preserve">0.550 M3</t>
  </si>
  <si>
    <t xml:space="preserve">OOCL AMERICA | 191S</t>
  </si>
  <si>
    <t xml:space="preserve">018-26PSM | HANL26010176</t>
  </si>
  <si>
    <t xml:space="preserve">HELUN</t>
  </si>
  <si>
    <t xml:space="preserve">26 ROLLS</t>
  </si>
  <si>
    <t xml:space="preserve">589.900 KGS</t>
  </si>
  <si>
    <t xml:space="preserve">2.200 M3</t>
  </si>
  <si>
    <t xml:space="preserve">TBA</t>
  </si>
  <si>
    <t xml:space="preserve">26-TPY-0206A | NBXCL2601103</t>
  </si>
  <si>
    <t xml:space="preserve">รอเรือเข้า 24/02</t>
  </si>
  <si>
    <t xml:space="preserve">ALAFAH</t>
  </si>
  <si>
    <t xml:space="preserve">REPID </t>
  </si>
  <si>
    <t xml:space="preserve">9 C/T</t>
  </si>
  <si>
    <t xml:space="preserve">100.700 KGS</t>
  </si>
  <si>
    <t xml:space="preserve">INCEDIA |043N</t>
  </si>
  <si>
    <t xml:space="preserve">APIL.2026.0115 |RTS260200174</t>
  </si>
  <si>
    <t xml:space="preserve">รอเรือเข้า 12/03/2026</t>
  </si>
  <si>
    <t xml:space="preserve">ZHEJIANG SHANGZHENG</t>
  </si>
  <si>
    <t xml:space="preserve">FCA</t>
  </si>
  <si>
    <t xml:space="preserve">13 ROLLS</t>
  </si>
  <si>
    <t xml:space="preserve">306.200 KGS</t>
  </si>
  <si>
    <t xml:space="preserve">2.000 M3</t>
  </si>
  <si>
    <t xml:space="preserve">LITTLE WARRIOR | 032S</t>
  </si>
  <si>
    <t xml:space="preserve">SZ26014 | NBXCL2601064</t>
  </si>
  <si>
    <t xml:space="preserve">ส่งสินค้าสมุทรสาคร</t>
  </si>
  <si>
    <t xml:space="preserve">H.T. INDUSTRIAL</t>
  </si>
  <si>
    <t xml:space="preserve">BEIJING SOONERCLEANING</t>
  </si>
  <si>
    <t xml:space="preserve">44 BALES</t>
  </si>
  <si>
    <t xml:space="preserve">8906.400 KGS</t>
  </si>
  <si>
    <t xml:space="preserve">68.000 M3</t>
  </si>
  <si>
    <t xml:space="preserve">YM CREDENTIAL | 100S</t>
  </si>
  <si>
    <t xml:space="preserve">B26W0305 | NBQF26020019</t>
  </si>
  <si>
    <t xml:space="preserve">รอเรือเข้า / FE</t>
  </si>
  <si>
    <t xml:space="preserve">WEALTH MEDIA</t>
  </si>
  <si>
    <t xml:space="preserve">SHENZHEN KINSTONE</t>
  </si>
  <si>
    <t xml:space="preserve">HONGKONG</t>
  </si>
  <si>
    <t xml:space="preserve">192.500 KGS</t>
  </si>
  <si>
    <t xml:space="preserve">0.840 M3</t>
  </si>
  <si>
    <t xml:space="preserve">HORAI BRIDGE | 220S</t>
  </si>
  <si>
    <t xml:space="preserve">PI KS-SS-251230001, PI KS-SS-251230002 | NBQF26010094</t>
  </si>
  <si>
    <t xml:space="preserve">รอคอนเฟิร์มเรือออก</t>
  </si>
  <si>
    <t xml:space="preserve">กันต์จัดชุดแล้ว </t>
  </si>
  <si>
    <t xml:space="preserve">MA MATTRESS</t>
  </si>
  <si>
    <t xml:space="preserve">JIANGSU SI HAI</t>
  </si>
  <si>
    <t xml:space="preserve">14 + 14</t>
  </si>
  <si>
    <t xml:space="preserve">793 PK</t>
  </si>
  <si>
    <t xml:space="preserve">63.000 M3</t>
  </si>
  <si>
    <t xml:space="preserve">WAN HAI 358 | 0012S</t>
  </si>
  <si>
    <t xml:space="preserve">SH20251124-004 | NBQF26010116</t>
  </si>
  <si>
    <t xml:space="preserve">รอคอนเฟิร์มเรือออก / FORM E</t>
  </si>
  <si>
    <t xml:space="preserve">NATO POWER</t>
  </si>
  <si>
    <t xml:space="preserve">HANGZHOU FUYANG</t>
  </si>
  <si>
    <t xml:space="preserve">ZHONGSHAN </t>
  </si>
  <si>
    <t xml:space="preserve">DDU</t>
  </si>
  <si>
    <t xml:space="preserve">SMALL WORLD</t>
  </si>
  <si>
    <t xml:space="preserve">40'HQ</t>
  </si>
  <si>
    <t xml:space="preserve">734 C/T</t>
  </si>
  <si>
    <t xml:space="preserve">7696.000 KGS</t>
  </si>
  <si>
    <t xml:space="preserve">62.150 M3</t>
  </si>
  <si>
    <t xml:space="preserve">SAWASDEE SUNRISE | 2602S</t>
  </si>
  <si>
    <t xml:space="preserve">I-2025-01-07 | ZH-EN26020066</t>
  </si>
  <si>
    <t xml:space="preserve">พี่แนนจัดชุดแล้ว</t>
  </si>
  <si>
    <t xml:space="preserve">THAI THE LI MOLD</t>
  </si>
  <si>
    <t xml:space="preserve">ZHONGSHAN HANHONGFA TRADING</t>
  </si>
  <si>
    <t xml:space="preserve">4 PLTS</t>
  </si>
  <si>
    <t xml:space="preserve">5292 KGS</t>
  </si>
  <si>
    <t xml:space="preserve">10.00 M3</t>
  </si>
  <si>
    <t xml:space="preserve">WAN HAI 277 V.S054</t>
  </si>
  <si>
    <t xml:space="preserve">GDHHF20260127 | ZH-EN26020034 </t>
  </si>
  <si>
    <t xml:space="preserve">DSI</t>
  </si>
  <si>
    <t xml:space="preserve">ANSELL</t>
  </si>
  <si>
    <t xml:space="preserve">PORT KLANG</t>
  </si>
  <si>
    <t xml:space="preserve">KHEE LOGISTICS </t>
  </si>
  <si>
    <t xml:space="preserve">2 PLTS</t>
  </si>
  <si>
    <t xml:space="preserve">499.000 KGS</t>
  </si>
  <si>
    <t xml:space="preserve">3.024 M3</t>
  </si>
  <si>
    <t xml:space="preserve">YM INCEPTION | 286N</t>
  </si>
  <si>
    <t xml:space="preserve">35054801 | BLANG/LCE/26/005</t>
  </si>
  <si>
    <t xml:space="preserve">FORM D</t>
  </si>
  <si>
    <t xml:space="preserve">รอเอเจนส่ง  cost กับ debit note  มา</t>
  </si>
  <si>
    <t xml:space="preserve">แพมจัดชุดแล้ว 	(ฝากเอาชุดให้พี่ดาอยู่ในแฟ้มเชียว)		</t>
  </si>
  <si>
    <t xml:space="preserve">SAIJAI</t>
  </si>
  <si>
    <t xml:space="preserve">YIWU QIANNUO</t>
  </si>
  <si>
    <t xml:space="preserve">6 PK</t>
  </si>
  <si>
    <t xml:space="preserve">1129.000 KGS</t>
  </si>
  <si>
    <t xml:space="preserve">5.517 M3</t>
  </si>
  <si>
    <t xml:space="preserve">KMTC NAGOYA | 2602S</t>
  </si>
  <si>
    <t xml:space="preserve">HJL-G20251222-02 | NBXCL2602031</t>
  </si>
  <si>
    <t xml:space="preserve">FORM E </t>
  </si>
  <si>
    <t xml:space="preserve">รอคอนเฟิร์มเรือออก / TISI / FE</t>
  </si>
  <si>
    <t xml:space="preserve">CIVIL MASTER </t>
  </si>
  <si>
    <t xml:space="preserve">FOSHAN XINCHENG</t>
  </si>
  <si>
    <t xml:space="preserve">20'GP</t>
  </si>
  <si>
    <t xml:space="preserve">280 PKGS</t>
  </si>
  <si>
    <t xml:space="preserve">16760.000 KGS</t>
  </si>
  <si>
    <t xml:space="preserve">31.000 M3</t>
  </si>
  <si>
    <t xml:space="preserve">MILD ROSE | 2608S</t>
  </si>
  <si>
    <t xml:space="preserve">CH20260209 | NBQF26020032</t>
  </si>
  <si>
    <t xml:space="preserve">รอคอนเฟิร์มเรือออก / เอกสาร FORM E</t>
  </si>
  <si>
    <t xml:space="preserve">THAIVISTA</t>
  </si>
  <si>
    <t xml:space="preserve">TACOFI </t>
  </si>
  <si>
    <t xml:space="preserve">7 CASES</t>
  </si>
  <si>
    <t xml:space="preserve">3344.000 KGS</t>
  </si>
  <si>
    <t xml:space="preserve">7.40 M3</t>
  </si>
  <si>
    <t xml:space="preserve">FAX26097407 | NBQF26020035</t>
  </si>
  <si>
    <t xml:space="preserve">แพมจัดชุดแล้ว</t>
  </si>
  <si>
    <t xml:space="preserve">GUANGXI DEXIANG</t>
  </si>
  <si>
    <t xml:space="preserve">NINGBO UNION</t>
  </si>
  <si>
    <t xml:space="preserve">13 CASES</t>
  </si>
  <si>
    <t xml:space="preserve">9968.000 KGS</t>
  </si>
  <si>
    <t xml:space="preserve">14.750 M3</t>
  </si>
  <si>
    <t xml:space="preserve">GSL ELEFTHERIA | 607S</t>
  </si>
  <si>
    <t xml:space="preserve">DXF260128 | UPS2602306</t>
  </si>
  <si>
    <t xml:space="preserve">ENDO</t>
  </si>
  <si>
    <t xml:space="preserve">RICH BRAND</t>
  </si>
  <si>
    <t xml:space="preserve">SHENZHEN</t>
  </si>
  <si>
    <t xml:space="preserve">EWW</t>
  </si>
  <si>
    <t xml:space="preserve">29 C/T</t>
  </si>
  <si>
    <t xml:space="preserve">363.000 KGS</t>
  </si>
  <si>
    <t xml:space="preserve">0.998 M3</t>
  </si>
  <si>
    <t xml:space="preserve">TS JAKARTA | 26002S</t>
  </si>
  <si>
    <t xml:space="preserve">RB202601003|NBXCL2601078</t>
  </si>
  <si>
    <t xml:space="preserve">เคลียร์สินค้าเรียบร้อย 18/02/2026</t>
  </si>
  <si>
    <t xml:space="preserve">KUNSHAN</t>
  </si>
  <si>
    <t xml:space="preserve">1 BUNDLES</t>
  </si>
  <si>
    <t xml:space="preserve">24.000 KGS</t>
  </si>
  <si>
    <t xml:space="preserve"> 0.11 M3</t>
  </si>
  <si>
    <t xml:space="preserve">PALAWAN |029S</t>
  </si>
  <si>
    <t xml:space="preserve">KT-2300|HANL26011476</t>
  </si>
  <si>
    <t xml:space="preserve">รอเรือเข้า 20  NCF</t>
  </si>
  <si>
    <t xml:space="preserve">223.000 KGS</t>
  </si>
  <si>
    <t xml:space="preserve">0.35 M3</t>
  </si>
  <si>
    <t xml:space="preserve">TL-1180 | HANL26011479</t>
  </si>
  <si>
    <t xml:space="preserve">รอเรือเข้า 20 NCF</t>
  </si>
  <si>
    <t xml:space="preserve">HIWA</t>
  </si>
  <si>
    <t xml:space="preserve">13 C/N</t>
  </si>
  <si>
    <t xml:space="preserve">292.000 KGS</t>
  </si>
  <si>
    <t xml:space="preserve">0.44 M3</t>
  </si>
  <si>
    <t xml:space="preserve">ELT-260119-001 |NBXCL2601086</t>
  </si>
  <si>
    <t xml:space="preserve">เคลียร์ พรุ่งนี้ 20/02/2026</t>
  </si>
  <si>
    <t xml:space="preserve">DONGGUAN JINRONGH</t>
  </si>
  <si>
    <t xml:space="preserve">1 PLTS</t>
  </si>
  <si>
    <t xml:space="preserve">571.000 KGS </t>
  </si>
  <si>
    <t xml:space="preserve">0.992 M3</t>
  </si>
  <si>
    <t xml:space="preserve">PI-JD-260122 | NBXCL2601085</t>
  </si>
  <si>
    <t xml:space="preserve">OJA</t>
  </si>
  <si>
    <t xml:space="preserve">48 C/T</t>
  </si>
  <si>
    <t xml:space="preserve">509.000 KGS</t>
  </si>
  <si>
    <t xml:space="preserve">3.982 M3</t>
  </si>
  <si>
    <t xml:space="preserve">OJA-PI-20260206 | NBXCL2602040</t>
  </si>
  <si>
    <t xml:space="preserve">ETA 21/02/2026</t>
  </si>
  <si>
    <t xml:space="preserve">แนนจัด ชุดแล้ว</t>
  </si>
  <si>
    <t xml:space="preserve">  ▌ KPI SUMMARY — FEB - SEA</t>
  </si>
  <si>
    <t xml:space="preserve">📦 Total Shipments</t>
  </si>
  <si>
    <t xml:space="preserve">✅ On Time</t>
  </si>
  <si>
    <t xml:space="preserve">🚨 Delayed</t>
  </si>
  <si>
    <t xml:space="preserve">⏳ In Transit</t>
  </si>
  <si>
    <t xml:space="preserve">✔️ จบงานแล้ว</t>
  </si>
  <si>
    <t xml:space="preserve">🎯 OTD Rate</t>
  </si>
  <si>
    <t xml:space="preserve">⏱️ Avg Resp (d)</t>
  </si>
  <si>
    <t xml:space="preserve">📅 Avg Delay (d)</t>
  </si>
  <si>
    <t xml:space="preserve">💰 Total Billed</t>
  </si>
  <si>
    <t xml:space="preserve">✅ Paid</t>
  </si>
  <si>
    <t xml:space="preserve">⏳ Unpaid/Pending</t>
  </si>
  <si>
    <t xml:space="preserve">💵 Total Amount</t>
  </si>
  <si>
    <t xml:space="preserve">💵 Paid Amount</t>
  </si>
  <si>
    <t xml:space="preserve">⚠️ Outstanding</t>
  </si>
  <si>
    <t xml:space="preserve">ENDO </t>
  </si>
  <si>
    <t xml:space="preserve">ZHONGSHAN OJA </t>
  </si>
  <si>
    <t xml:space="preserve">SZX</t>
  </si>
  <si>
    <t xml:space="preserve">UNITEX LOGISTICS IA </t>
  </si>
  <si>
    <t xml:space="preserve">61 PKGS</t>
  </si>
  <si>
    <t xml:space="preserve">100.00 KGS</t>
  </si>
  <si>
    <t xml:space="preserve">0.52 M3</t>
  </si>
  <si>
    <t xml:space="preserve">ZH305</t>
  </si>
  <si>
    <t xml:space="preserve">OJA-PI-260130,OJA-PI-260130-1 ,OJA-PI-260130-2</t>
  </si>
  <si>
    <t xml:space="preserve">เคลียร์สินค้าและจัดส่งสินค้าแล้ว</t>
  </si>
  <si>
    <t xml:space="preserve">DAO COFFEE </t>
  </si>
  <si>
    <t xml:space="preserve">TYX</t>
  </si>
  <si>
    <t xml:space="preserve">32 C/T</t>
  </si>
  <si>
    <t xml:space="preserve">323.000 KGS</t>
  </si>
  <si>
    <t xml:space="preserve">1.940 M3</t>
  </si>
  <si>
    <t xml:space="preserve">8K202</t>
  </si>
  <si>
    <t xml:space="preserve">TXY20251225-04 | NBXCL2602009</t>
  </si>
  <si>
    <t xml:space="preserve">YIWU YANE</t>
  </si>
  <si>
    <t xml:space="preserve">NGB</t>
  </si>
  <si>
    <t xml:space="preserve">100.000 KGS</t>
  </si>
  <si>
    <t xml:space="preserve">0.240 M3</t>
  </si>
  <si>
    <t xml:space="preserve">9C7431</t>
  </si>
  <si>
    <t xml:space="preserve">YC251120 | NBXCL2602034</t>
  </si>
  <si>
    <t xml:space="preserve">OSM</t>
  </si>
  <si>
    <t xml:space="preserve">5 PKGS</t>
  </si>
  <si>
    <t xml:space="preserve">0.28 M3</t>
  </si>
  <si>
    <t xml:space="preserve">OSM-20260202 | AGBKKA8804</t>
  </si>
  <si>
    <t xml:space="preserve">LITE-ON</t>
  </si>
  <si>
    <t xml:space="preserve">JIANGMEN HAPPY</t>
  </si>
  <si>
    <t xml:space="preserve">DDP</t>
  </si>
  <si>
    <t xml:space="preserve">FULL-TRANS SHIPPING </t>
  </si>
  <si>
    <t xml:space="preserve">412.00 KGS</t>
  </si>
  <si>
    <t xml:space="preserve">0.81 M3</t>
  </si>
  <si>
    <t xml:space="preserve">CZ3035</t>
  </si>
  <si>
    <t xml:space="preserve">HAPPY2026281004G-T</t>
  </si>
  <si>
    <t xml:space="preserve">10 C/T</t>
  </si>
  <si>
    <t xml:space="preserve">279.50 KGS</t>
  </si>
  <si>
    <t xml:space="preserve">1.68 M3</t>
  </si>
  <si>
    <t xml:space="preserve">5X0146</t>
  </si>
  <si>
    <t xml:space="preserve">WBBM257596061| NBXCL2602007</t>
  </si>
  <si>
    <t xml:space="preserve">SHENZHEN BETOP</t>
  </si>
  <si>
    <t xml:space="preserve">XMN</t>
  </si>
  <si>
    <t xml:space="preserve">49 C/T</t>
  </si>
  <si>
    <t xml:space="preserve">770.000 KGS</t>
  </si>
  <si>
    <t xml:space="preserve">4.618 M3</t>
  </si>
  <si>
    <t xml:space="preserve">MF853</t>
  </si>
  <si>
    <t xml:space="preserve">BT-20251226LT13 | NBXCL2602023</t>
  </si>
  <si>
    <t xml:space="preserve">KUNSHAN </t>
  </si>
  <si>
    <t xml:space="preserve">SHA</t>
  </si>
  <si>
    <t xml:space="preserve">LPL INT'L </t>
  </si>
  <si>
    <t xml:space="preserve">1 PKG</t>
  </si>
  <si>
    <t xml:space="preserve">193.000 KGS</t>
  </si>
  <si>
    <t xml:space="preserve">1.160 M3</t>
  </si>
  <si>
    <t xml:space="preserve">MU7839</t>
  </si>
  <si>
    <t xml:space="preserve">KT-2032-1 | LPL2602002A</t>
  </si>
  <si>
    <t xml:space="preserve">0.600 M3</t>
  </si>
  <si>
    <t xml:space="preserve">KT-2032-2  LPL2602002B</t>
  </si>
  <si>
    <t xml:space="preserve">20.000 KGS</t>
  </si>
  <si>
    <t xml:space="preserve">0.120 M3</t>
  </si>
  <si>
    <t xml:space="preserve">TL-1182-1 | LPL2602002C</t>
  </si>
  <si>
    <t xml:space="preserve">รอ TISI</t>
  </si>
  <si>
    <t xml:space="preserve">13.000 KGS</t>
  </si>
  <si>
    <t xml:space="preserve">0.050 M3</t>
  </si>
  <si>
    <t xml:space="preserve">TL-1182-2 | LPL2602002D</t>
  </si>
  <si>
    <t xml:space="preserve">45.00KGS</t>
  </si>
  <si>
    <t xml:space="preserve">0.001 M3</t>
  </si>
  <si>
    <t xml:space="preserve">FM833</t>
  </si>
  <si>
    <t xml:space="preserve">NCV20260211THA|LPL26002003</t>
  </si>
  <si>
    <t xml:space="preserve">DUTY </t>
  </si>
  <si>
    <t xml:space="preserve">  ▌ KPI SUMMARY — FEB-AIR</t>
  </si>
  <si>
    <t xml:space="preserve">IDEA MATTER</t>
  </si>
  <si>
    <t xml:space="preserve">NEOPHARM</t>
  </si>
  <si>
    <t xml:space="preserve">LS LOGISTICS</t>
  </si>
  <si>
    <t xml:space="preserve">9 CTNS</t>
  </si>
  <si>
    <t xml:space="preserve">SKY ORION | 2603S</t>
  </si>
  <si>
    <t xml:space="preserve">APIL.2026.0115 | HASLK01251106895</t>
  </si>
  <si>
    <t xml:space="preserve">​LEADERS COSMETICS</t>
  </si>
  <si>
    <t xml:space="preserve">UNITAI</t>
  </si>
  <si>
    <t xml:space="preserve">LC-IM-20260210|</t>
  </si>
  <si>
    <t xml:space="preserve">รอตรวจ BL </t>
  </si>
  <si>
    <t xml:space="preserve">PATHONG </t>
  </si>
  <si>
    <t xml:space="preserve">RAMCIDES</t>
  </si>
  <si>
    <t xml:space="preserve">KATTUPALLI</t>
  </si>
  <si>
    <t xml:space="preserve">TRIO-INDIA</t>
  </si>
  <si>
    <t xml:space="preserve">26104.000 KGS</t>
  </si>
  <si>
    <t xml:space="preserve">DAPHNE | 0886E</t>
  </si>
  <si>
    <t xml:space="preserve">WUXI C&amp;W VALVE</t>
  </si>
  <si>
    <t xml:space="preserve">BANGKOK</t>
  </si>
  <si>
    <t xml:space="preserve">1 CASE</t>
  </si>
  <si>
    <t xml:space="preserve">CWY2260209-1 | NBQF26030006</t>
  </si>
  <si>
    <t xml:space="preserve">NORTH-SOUTH</t>
  </si>
  <si>
    <t xml:space="preserve">NINGBO</t>
  </si>
  <si>
    <t xml:space="preserve">110 C/T</t>
  </si>
  <si>
    <t xml:space="preserve">รอสินค้าเสร็จ</t>
  </si>
  <si>
    <t xml:space="preserve">KEYTOUR</t>
  </si>
  <si>
    <t xml:space="preserve">UNITEX</t>
  </si>
  <si>
    <t xml:space="preserve">21 CB</t>
  </si>
  <si>
    <t xml:space="preserve">580 C/T</t>
  </si>
  <si>
    <t xml:space="preserve">6720.000 KGS</t>
  </si>
  <si>
    <t xml:space="preserve">65.980 M3</t>
  </si>
  <si>
    <t xml:space="preserve">CUL YANGPU | 2608S</t>
  </si>
  <si>
    <t xml:space="preserve">KT202512091 | NBPAT2602912</t>
  </si>
  <si>
    <t xml:space="preserve">รอเรือออก</t>
  </si>
  <si>
    <t xml:space="preserve">MICROBIO-TEC </t>
  </si>
  <si>
    <t xml:space="preserve">YUYAO GREENYARD TOOLS </t>
  </si>
  <si>
    <t xml:space="preserve">WG26-010 |</t>
  </si>
  <si>
    <t xml:space="preserve">JIANGXI TIANSHENG NEW MATERIALS </t>
  </si>
  <si>
    <t xml:space="preserve">M2026021301 |NBQF26020045</t>
  </si>
  <si>
    <t xml:space="preserve">พี่กันเฟิร์ม BL แล้ว</t>
  </si>
  <si>
    <t xml:space="preserve">PLETHORA SPORTS</t>
  </si>
  <si>
    <t xml:space="preserve">COOP</t>
  </si>
  <si>
    <t xml:space="preserve">POY2602/00002</t>
  </si>
  <si>
    <t xml:space="preserve">SHENZHEN CENTURY </t>
  </si>
  <si>
    <t xml:space="preserve">503 C/T</t>
  </si>
  <si>
    <t xml:space="preserve">6054.200 KGS</t>
  </si>
  <si>
    <t xml:space="preserve">59.000 M3</t>
  </si>
  <si>
    <t xml:space="preserve">EVER WIN | 0339A </t>
  </si>
  <si>
    <t xml:space="preserve">PI-20260206 |NBQF26010105</t>
  </si>
  <si>
    <t xml:space="preserve">รอเอกสารชั่งตวงวัด</t>
  </si>
  <si>
    <t xml:space="preserve">JIANGXI MEILV</t>
  </si>
  <si>
    <t xml:space="preserve">631 C/T</t>
  </si>
  <si>
    <t xml:space="preserve">5007.700 KGS</t>
  </si>
  <si>
    <t xml:space="preserve">LITTLE WARRIOR | 033S</t>
  </si>
  <si>
    <t xml:space="preserve">L25-JX-AB | NBQF26020005</t>
  </si>
  <si>
    <t xml:space="preserve">แพลนเคลียร์ และจัดส่ง </t>
  </si>
  <si>
    <t xml:space="preserve">H.T. INDUSTRIAL </t>
  </si>
  <si>
    <t xml:space="preserve">  ▌ KPI SUMMARY — MAR - SEA</t>
  </si>
  <si>
    <t xml:space="preserve">NBQF26030027</t>
  </si>
  <si>
    <t xml:space="preserve">MU541</t>
  </si>
  <si>
    <t xml:space="preserve">KT-2306 | LPL2603003A</t>
  </si>
  <si>
    <t xml:space="preserve">TL-1184 | LPL2603003B</t>
  </si>
  <si>
    <t xml:space="preserve">CK273</t>
  </si>
  <si>
    <t xml:space="preserve">KT-2305| LPL2603001A</t>
  </si>
  <si>
    <t xml:space="preserve">แพมซื้อประกันแล้ว ยังไม่เฟิร์มประกัน</t>
  </si>
  <si>
    <t xml:space="preserve">TL-1183| LPL2603001B</t>
  </si>
  <si>
    <t xml:space="preserve">NOBLE </t>
  </si>
  <si>
    <t xml:space="preserve">HCL-26-0301 |LPL2603002</t>
  </si>
  <si>
    <t xml:space="preserve">UPSHINE</t>
  </si>
  <si>
    <t xml:space="preserve">EV260107009 | AGBKKA8871</t>
  </si>
  <si>
    <t xml:space="preserve">LITE ON </t>
  </si>
  <si>
    <t xml:space="preserve">HAPPY</t>
  </si>
  <si>
    <t xml:space="preserve">CAN</t>
  </si>
  <si>
    <t xml:space="preserve">FULL-TRANS</t>
  </si>
  <si>
    <t xml:space="preserve">CZ367</t>
  </si>
  <si>
    <t xml:space="preserve">เคลียร์สินค้าและจัดส่งแล้ว </t>
  </si>
  <si>
    <t xml:space="preserve">FUTURE</t>
  </si>
  <si>
    <t xml:space="preserve">EZISURG GLOBAL</t>
  </si>
  <si>
    <t xml:space="preserve">MF855</t>
  </si>
  <si>
    <t xml:space="preserve">GJ02420260227002 |AGBKKA8878</t>
  </si>
  <si>
    <t xml:space="preserve">รอเคลียร์สินค้าและจัดส่ง</t>
  </si>
  <si>
    <t xml:space="preserve">HCL-26-0314 | LPL2603005</t>
  </si>
  <si>
    <t xml:space="preserve">  ▌ KPI SUMMARY — MAR-AIR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</si>
</sst>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 * #,##0.00_ ;_ * \-#,##0.00_ ;_ * \-??_ ;_ @_ "/>
    <numFmt numFmtId="166" formatCode="_ \￥* #,##0.00_ ;_ \￥* \-#,##0.00_ ;_ \￥* \-??_ ;_ @_ "/>
    <numFmt numFmtId="167" formatCode="[$-409]d\-mmm\-yy;@"/>
    <numFmt numFmtId="168" formatCode="_-* #,##0.00_-;\-* #,##0.00_-;_-* \-??_-;_-@_-"/>
    <numFmt numFmtId="169" formatCode="0.000"/>
    <numFmt numFmtId="170" formatCode="[$-409]dd\-mmm\-yy;@"/>
    <numFmt numFmtId="171" formatCode="[$-409]d\-mmm;@"/>
    <numFmt numFmtId="172" formatCode="General"/>
    <numFmt numFmtId="173" formatCode="0"/>
    <numFmt numFmtId="174" formatCode="dd\-mmm\-yy"/>
    <numFmt numFmtId="175" formatCode="#,##0.00"/>
    <numFmt numFmtId="176" formatCode="&quot;B1&quot;d\-mmm"/>
    <numFmt numFmtId="177" formatCode="0.0%"/>
    <numFmt numFmtId="178" formatCode="0.0"/>
    <numFmt numFmtId="179" formatCode="#,##0.00&quot; THB&quot;"/>
    <numFmt numFmtId="180" formatCode="0.00"/>
    <numFmt numFmtId="181" formatCode="@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  <charset val="134"/>
    </font>
    <font>
      <sz val="9"/>
      <name val="宋体"/>
      <family val="0"/>
      <charset val="134"/>
    </font>
    <font>
      <b val="true"/>
      <sz val="9"/>
      <color rgb="FFFFFFFF"/>
      <name val="Arial"/>
      <family val="0"/>
      <charset val="1"/>
    </font>
    <font>
      <b val="true"/>
      <sz val="10"/>
      <color theme="1"/>
      <name val="Calibri"/>
      <family val="2"/>
      <charset val="1"/>
    </font>
    <font>
      <b val="true"/>
      <sz val="9"/>
      <color rgb="FF00FFD4"/>
      <name val="Arial"/>
      <family val="0"/>
      <charset val="1"/>
    </font>
    <font>
      <b val="true"/>
      <sz val="9"/>
      <color rgb="FFDDB8FF"/>
      <name val="Arial"/>
      <family val="0"/>
      <charset val="1"/>
    </font>
    <font>
      <b val="true"/>
      <sz val="9"/>
      <color rgb="FFAAD4FF"/>
      <name val="Arial"/>
      <family val="0"/>
      <charset val="1"/>
    </font>
    <font>
      <sz val="9"/>
      <color rgb="FF000000"/>
      <name val="Arial"/>
      <family val="0"/>
      <charset val="1"/>
    </font>
    <font>
      <sz val="11"/>
      <color theme="4"/>
      <name val="Calibri"/>
      <family val="2"/>
      <charset val="1"/>
    </font>
    <font>
      <b val="true"/>
      <sz val="9"/>
      <color rgb="FF000000"/>
      <name val="Arial"/>
      <family val="0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9"/>
      <name val="Calibri"/>
      <family val="2"/>
      <charset val="1"/>
    </font>
    <font>
      <b val="true"/>
      <sz val="11"/>
      <color theme="9"/>
      <name val="Calibri"/>
      <family val="0"/>
      <charset val="1"/>
    </font>
    <font>
      <sz val="11"/>
      <color theme="9"/>
      <name val="Calibri"/>
      <family val="2"/>
      <charset val="1"/>
    </font>
    <font>
      <b val="true"/>
      <sz val="11"/>
      <color rgb="FF70AD47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2"/>
      <color rgb="FF0D6E6E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9"/>
      <color rgb="FFFFD08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7B4F00"/>
      <name val="Arial"/>
      <family val="0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0000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6E6E"/>
        <bgColor rgb="FF008080"/>
      </patternFill>
    </fill>
    <fill>
      <patternFill patternType="solid">
        <fgColor theme="8" tint="0.3999"/>
        <bgColor rgb="FFAAD4FF"/>
      </patternFill>
    </fill>
    <fill>
      <patternFill patternType="solid">
        <fgColor rgb="FF1A2E44"/>
        <bgColor rgb="FF222222"/>
      </patternFill>
    </fill>
    <fill>
      <patternFill patternType="solid">
        <fgColor rgb="FF5B2D8E"/>
        <bgColor rgb="FF993366"/>
      </patternFill>
    </fill>
    <fill>
      <patternFill patternType="solid">
        <fgColor rgb="FF1A4A6E"/>
        <bgColor rgb="FF1A2E44"/>
      </patternFill>
    </fill>
    <fill>
      <patternFill patternType="solid">
        <fgColor rgb="FFEAF7F7"/>
        <bgColor rgb="FFF0F8FF"/>
      </patternFill>
    </fill>
    <fill>
      <patternFill patternType="solid">
        <fgColor theme="0" tint="-0.15"/>
        <bgColor rgb="FFCCCCCC"/>
      </patternFill>
    </fill>
    <fill>
      <patternFill patternType="solid">
        <fgColor rgb="FFF0F8FF"/>
        <bgColor rgb="FFEAF7F7"/>
      </patternFill>
    </fill>
    <fill>
      <patternFill patternType="solid">
        <fgColor rgb="FFFFFFFF"/>
        <bgColor rgb="FFFAFEFF"/>
      </patternFill>
    </fill>
    <fill>
      <patternFill patternType="solid">
        <fgColor rgb="FFFAFEFF"/>
        <bgColor rgb="FFFFFFFF"/>
      </patternFill>
    </fill>
    <fill>
      <patternFill patternType="solid">
        <fgColor rgb="FFD5F5E3"/>
        <bgColor rgb="FFE3F2FD"/>
      </patternFill>
    </fill>
    <fill>
      <patternFill patternType="solid">
        <fgColor rgb="FFFADBD8"/>
        <bgColor rgb="FFEDE7F6"/>
      </patternFill>
    </fill>
    <fill>
      <patternFill patternType="solid">
        <fgColor rgb="FFFEF9E7"/>
        <bgColor rgb="FFFFF8E7"/>
      </patternFill>
    </fill>
    <fill>
      <patternFill patternType="solid">
        <fgColor rgb="FFEDE7F6"/>
        <bgColor rgb="FFF2F2F2"/>
      </patternFill>
    </fill>
    <fill>
      <patternFill patternType="solid">
        <fgColor rgb="FFE3F2FD"/>
        <bgColor rgb="FFEAF7F7"/>
      </patternFill>
    </fill>
    <fill>
      <patternFill patternType="solid">
        <fgColor rgb="FF7B4F00"/>
        <bgColor rgb="FF993366"/>
      </patternFill>
    </fill>
    <fill>
      <patternFill patternType="solid">
        <fgColor rgb="FFFFF8E7"/>
        <bgColor rgb="FFFEF9E7"/>
      </patternFill>
    </fill>
    <fill>
      <patternFill patternType="solid">
        <fgColor theme="0" tint="-0.05"/>
        <bgColor rgb="FFEAF7F7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7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3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1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3" fillId="1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6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1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常规_Sheet1" xfId="22"/>
    <cellStyle name="货币_Sheet1" xfId="23"/>
  </cellStyles>
  <dxfs count="10">
    <dxf>
      <fill>
        <patternFill patternType="solid">
          <fgColor rgb="FF0D6E6E"/>
          <bgColor rgb="FF000000"/>
        </patternFill>
      </fill>
    </dxf>
    <dxf>
      <fill>
        <patternFill patternType="solid">
          <fgColor rgb="FFEAF7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00A86B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B777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5B2D8E"/>
        <sz val="9"/>
      </font>
      <fill>
        <patternFill>
          <bgColor rgb="FFEDE7F6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C0F752"/>
      <rgbColor rgb="FFFF00FF"/>
      <rgbColor rgb="FF00FFD4"/>
      <rgbColor rgb="FF800000"/>
      <rgbColor rgb="FF008000"/>
      <rgbColor rgb="FF000080"/>
      <rgbColor rgb="FFB7770D"/>
      <rgbColor rgb="FF800080"/>
      <rgbColor rgb="FF0D6E6E"/>
      <rgbColor rgb="FFCCCCCC"/>
      <rgbColor rgb="FF777777"/>
      <rgbColor rgb="FFAAD4FF"/>
      <rgbColor rgb="FF7B4F00"/>
      <rgbColor rgb="FFFEF9E7"/>
      <rgbColor rgb="FFE3F2FD"/>
      <rgbColor rgb="FF660066"/>
      <rgbColor rgb="FFEDE7F6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7F7"/>
      <rgbColor rgb="FFD5F5E3"/>
      <rgbColor rgb="FFFFF8E7"/>
      <rgbColor rgb="FF9DC3E6"/>
      <rgbColor rgb="FFFADBD8"/>
      <rgbColor rgb="FFDDB8FF"/>
      <rgbColor rgb="FFFFD080"/>
      <rgbColor rgb="FF4472C4"/>
      <rgbColor rgb="FF33CCCC"/>
      <rgbColor rgb="FFF0F8FF"/>
      <rgbColor rgb="FFFFC000"/>
      <rgbColor rgb="FFFAFEFF"/>
      <rgbColor rgb="FFFF6600"/>
      <rgbColor rgb="FF666699"/>
      <rgbColor rgb="FF70AD47"/>
      <rgbColor rgb="FF1A4A6E"/>
      <rgbColor rgb="FF00A86B"/>
      <rgbColor rgb="FF003300"/>
      <rgbColor rgb="FF222222"/>
      <rgbColor rgb="FFC0392B"/>
      <rgbColor rgb="FF993366"/>
      <rgbColor rgb="FF5B2D8E"/>
      <rgbColor rgb="FF1A2E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F752"/>
    <pageSetUpPr fitToPage="true"/>
  </sheetPr>
  <dimension ref="A1:AO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J19" activeCellId="0" sqref="J19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37.57"/>
    <col collapsed="false" customWidth="true" hidden="false" outlineLevel="0" max="4" min="4" style="0" width="14"/>
    <col collapsed="false" customWidth="true" hidden="false" outlineLevel="0" max="7" min="7" style="0" width="17.29"/>
    <col collapsed="false" customWidth="true" hidden="false" outlineLevel="0" max="8" min="8" style="1" width="12.15"/>
    <col collapsed="false" customWidth="true" hidden="false" outlineLevel="0" max="9" min="9" style="1" width="12.29"/>
    <col collapsed="false" customWidth="true" hidden="false" outlineLevel="0" max="10" min="10" style="1" width="12.42"/>
    <col collapsed="false" customWidth="true" hidden="false" outlineLevel="0" max="11" min="11" style="0" width="11.29"/>
    <col collapsed="false" customWidth="true" hidden="false" outlineLevel="0" max="12" min="12" style="0" width="14.42"/>
    <col collapsed="false" customWidth="true" hidden="false" outlineLevel="0" max="13" min="13" style="2" width="9.14"/>
    <col collapsed="false" customWidth="true" hidden="false" outlineLevel="0" max="14" min="14" style="0" width="10.29"/>
    <col collapsed="false" customWidth="true" hidden="false" outlineLevel="0" max="15" min="15" style="3" width="15.29"/>
    <col collapsed="false" customWidth="true" hidden="false" outlineLevel="0" max="16" min="16" style="4" width="11.14"/>
    <col collapsed="false" customWidth="true" hidden="false" outlineLevel="0" max="17" min="17" style="0" width="22"/>
    <col collapsed="false" customWidth="true" hidden="false" outlineLevel="0" max="18" min="18" style="0" width="73"/>
    <col collapsed="false" customWidth="true" hidden="false" outlineLevel="0" max="19" min="19" style="0" width="13.29"/>
    <col collapsed="false" customWidth="true" hidden="false" outlineLevel="0" max="20" min="20" style="0" width="15.71"/>
    <col collapsed="false" customWidth="true" hidden="false" outlineLevel="0" max="22" min="21" style="5" width="14.86"/>
    <col collapsed="false" customWidth="true" hidden="false" outlineLevel="0" max="23" min="23" style="5" width="11.85"/>
    <col collapsed="false" customWidth="true" hidden="false" outlineLevel="0" max="24" min="24" style="5" width="10.42"/>
    <col collapsed="false" customWidth="true" hidden="false" outlineLevel="0" max="25" min="25" style="5" width="11.29"/>
    <col collapsed="false" customWidth="true" hidden="false" outlineLevel="0" max="26" min="26" style="0" width="26"/>
    <col collapsed="false" customWidth="true" hidden="false" outlineLevel="0" max="37" min="34" style="0" width="13"/>
    <col collapsed="false" customWidth="true" hidden="false" outlineLevel="0" max="41" min="38" style="0" width="14"/>
  </cols>
  <sheetData>
    <row r="1" s="12" customFormat="true" ht="33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H1" s="13" t="s">
        <v>29</v>
      </c>
      <c r="AI1" s="13" t="s">
        <v>30</v>
      </c>
      <c r="AJ1" s="13" t="s">
        <v>31</v>
      </c>
      <c r="AK1" s="14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</row>
    <row r="2" s="24" customFormat="true" ht="18.75" hidden="false" customHeight="true" outlineLevel="0" collapsed="false">
      <c r="A2" s="16" t="n">
        <f aca="false">ROW()-ROW($A$2)+1</f>
        <v>1</v>
      </c>
      <c r="B2" s="17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7" t="s">
        <v>42</v>
      </c>
      <c r="H2" s="18" t="s">
        <v>43</v>
      </c>
      <c r="I2" s="19" t="n">
        <v>46063</v>
      </c>
      <c r="J2" s="19" t="n">
        <v>46067</v>
      </c>
      <c r="K2" s="16"/>
      <c r="L2" s="17" t="s">
        <v>44</v>
      </c>
      <c r="M2" s="17" t="s">
        <v>43</v>
      </c>
      <c r="N2" s="17" t="s">
        <v>45</v>
      </c>
      <c r="O2" s="20" t="s">
        <v>46</v>
      </c>
      <c r="P2" s="21" t="s">
        <v>47</v>
      </c>
      <c r="Q2" s="17" t="s">
        <v>48</v>
      </c>
      <c r="R2" s="17" t="s">
        <v>49</v>
      </c>
      <c r="S2" s="22" t="b">
        <f aca="false">FALSE()</f>
        <v>0</v>
      </c>
      <c r="T2" s="17" t="s">
        <v>50</v>
      </c>
      <c r="U2" s="23" t="n">
        <v>46063</v>
      </c>
      <c r="V2" s="23" t="n">
        <v>46063</v>
      </c>
      <c r="W2" s="23" t="n">
        <v>46063</v>
      </c>
      <c r="X2" s="23" t="n">
        <v>46071</v>
      </c>
      <c r="Y2" s="23" t="n">
        <v>46071</v>
      </c>
      <c r="Z2" s="17" t="s">
        <v>51</v>
      </c>
      <c r="AA2" s="22" t="b">
        <f aca="false">TRUE()</f>
        <v>1</v>
      </c>
      <c r="AB2" s="22" t="b">
        <f aca="false">TRUE()</f>
        <v>1</v>
      </c>
      <c r="AC2" s="17" t="s">
        <v>52</v>
      </c>
      <c r="AH2" s="25" t="str">
        <f aca="false">IF(AK2="จบงานแล้ว","จบงานแล้ว",IF(K2="","In Transit",IF(K2&lt;=J2,"On Time","Delayed")))</f>
        <v>จบงานแล้ว</v>
      </c>
      <c r="AI2" s="26" t="n">
        <f aca="false">IFERROR(IF(AND(ISNUMBER(U2),ISNUMBER(X2)),X2-U2,""),"")</f>
        <v>8</v>
      </c>
      <c r="AJ2" s="26" t="str">
        <f aca="false">IF(AND(J2&lt;&gt;"",K2&lt;&gt;""),MAX(0,K2-J2),"")</f>
        <v/>
      </c>
      <c r="AK2" s="27" t="str">
        <f aca="false">IF(OR(ISNUMBER(SEARCH("เคลียร์สินค้าและจัดส่งสินค้าแล้ว",Z2)),ISNUMBER(SEARCH("เคลียร์สินค้าเรียบร้อย",Z2)),ISNUMBER(SEARCH("เคลียร์สินค้าและจัดส่งแล้ว",Z2)),ISNUMBER(SEARCH("จัดส่งสินค้าแล้ว",Z2))), "จบงานแล้ว", "")</f>
        <v>จบงานแล้ว</v>
      </c>
      <c r="AL2" s="28"/>
      <c r="AM2" s="29"/>
      <c r="AN2" s="30"/>
      <c r="AO2" s="29"/>
    </row>
    <row r="3" s="24" customFormat="true" ht="18.75" hidden="false" customHeight="true" outlineLevel="0" collapsed="false">
      <c r="A3" s="31" t="n">
        <f aca="false">ROW()-ROW($A$2)+1</f>
        <v>2</v>
      </c>
      <c r="B3" s="32" t="s">
        <v>37</v>
      </c>
      <c r="C3" s="32" t="s">
        <v>53</v>
      </c>
      <c r="D3" s="32" t="s">
        <v>39</v>
      </c>
      <c r="E3" s="32" t="s">
        <v>40</v>
      </c>
      <c r="F3" s="32" t="s">
        <v>54</v>
      </c>
      <c r="G3" s="32" t="s">
        <v>42</v>
      </c>
      <c r="H3" s="33" t="s">
        <v>43</v>
      </c>
      <c r="I3" s="34" t="n">
        <v>46051</v>
      </c>
      <c r="J3" s="34"/>
      <c r="K3" s="31"/>
      <c r="L3" s="32" t="s">
        <v>44</v>
      </c>
      <c r="M3" s="32" t="s">
        <v>43</v>
      </c>
      <c r="N3" s="32" t="s">
        <v>55</v>
      </c>
      <c r="O3" s="35" t="s">
        <v>56</v>
      </c>
      <c r="P3" s="36" t="s">
        <v>57</v>
      </c>
      <c r="Q3" s="32" t="s">
        <v>58</v>
      </c>
      <c r="R3" s="32" t="s">
        <v>59</v>
      </c>
      <c r="S3" s="37" t="n">
        <f aca="false">FALSE()</f>
        <v>0</v>
      </c>
      <c r="T3" s="32" t="s">
        <v>50</v>
      </c>
      <c r="U3" s="38" t="n">
        <v>46051</v>
      </c>
      <c r="V3" s="38" t="n">
        <v>46051</v>
      </c>
      <c r="W3" s="38" t="n">
        <v>46051</v>
      </c>
      <c r="X3" s="38" t="n">
        <v>46059</v>
      </c>
      <c r="Y3" s="38" t="n">
        <v>46059</v>
      </c>
      <c r="Z3" s="32" t="s">
        <v>51</v>
      </c>
      <c r="AA3" s="39" t="b">
        <f aca="false">TRUE()</f>
        <v>1</v>
      </c>
      <c r="AB3" s="39" t="b">
        <f aca="false">TRUE()</f>
        <v>1</v>
      </c>
      <c r="AC3" s="32" t="s">
        <v>60</v>
      </c>
      <c r="AH3" s="27" t="str">
        <f aca="false">IF(AK3="จบงานแล้ว","จบงานแล้ว",IF(K3="","In Transit",IF(K3&lt;=J3,"On Time","Delayed")))</f>
        <v>จบงานแล้ว</v>
      </c>
      <c r="AI3" s="26" t="n">
        <f aca="false">IFERROR(IF(AND(ISNUMBER(U3),ISNUMBER(X3)),X3-U3,""),"")</f>
        <v>8</v>
      </c>
      <c r="AJ3" s="26" t="str">
        <f aca="false">IF(AND(J3&lt;&gt;"",K3&lt;&gt;""),MAX(0,K3-J3),"")</f>
        <v/>
      </c>
      <c r="AK3" s="27" t="str">
        <f aca="false">IF(OR(ISNUMBER(SEARCH("เคลียร์สินค้าและจัดส่งสินค้าแล้ว",Z3)),ISNUMBER(SEARCH("เคลียร์สินค้าเรียบร้อย",Z3)),ISNUMBER(SEARCH("เคลียร์สินค้าและจัดส่งแล้ว",Z3)),ISNUMBER(SEARCH("จัดส่งสินค้าแล้ว",Z3))), "จบงานแล้ว", "")</f>
        <v>จบงานแล้ว</v>
      </c>
      <c r="AL3" s="40"/>
      <c r="AM3" s="41"/>
      <c r="AN3" s="42"/>
      <c r="AO3" s="41"/>
    </row>
    <row r="4" s="24" customFormat="true" ht="18.75" hidden="false" customHeight="true" outlineLevel="0" collapsed="false">
      <c r="A4" s="16" t="n">
        <f aca="false">ROW()-ROW($A$2)+1</f>
        <v>3</v>
      </c>
      <c r="B4" s="17" t="s">
        <v>37</v>
      </c>
      <c r="C4" s="17" t="s">
        <v>61</v>
      </c>
      <c r="D4" s="17" t="s">
        <v>39</v>
      </c>
      <c r="E4" s="17" t="s">
        <v>40</v>
      </c>
      <c r="F4" s="17" t="s">
        <v>54</v>
      </c>
      <c r="G4" s="17" t="s">
        <v>42</v>
      </c>
      <c r="H4" s="18" t="s">
        <v>43</v>
      </c>
      <c r="I4" s="19" t="n">
        <v>46064</v>
      </c>
      <c r="J4" s="19" t="n">
        <v>46070</v>
      </c>
      <c r="K4" s="16"/>
      <c r="L4" s="17" t="s">
        <v>44</v>
      </c>
      <c r="M4" s="17" t="s">
        <v>43</v>
      </c>
      <c r="N4" s="17" t="s">
        <v>62</v>
      </c>
      <c r="O4" s="20" t="s">
        <v>63</v>
      </c>
      <c r="P4" s="21" t="s">
        <v>64</v>
      </c>
      <c r="Q4" s="17" t="s">
        <v>65</v>
      </c>
      <c r="R4" s="17" t="s">
        <v>66</v>
      </c>
      <c r="S4" s="43" t="n">
        <f aca="false">FALSE()</f>
        <v>0</v>
      </c>
      <c r="T4" s="17" t="s">
        <v>50</v>
      </c>
      <c r="U4" s="23" t="n">
        <v>46064</v>
      </c>
      <c r="V4" s="23" t="n">
        <v>46064</v>
      </c>
      <c r="W4" s="23"/>
      <c r="X4" s="23"/>
      <c r="Y4" s="23"/>
      <c r="Z4" s="17" t="s">
        <v>67</v>
      </c>
      <c r="AA4" s="22" t="b">
        <f aca="false">TRUE()</f>
        <v>1</v>
      </c>
      <c r="AB4" s="22" t="b">
        <f aca="false">TRUE()</f>
        <v>1</v>
      </c>
      <c r="AC4" s="17" t="s">
        <v>68</v>
      </c>
      <c r="AH4" s="27" t="str">
        <f aca="false">IF(AK4="จบงานแล้ว","จบงานแล้ว",IF(K4="","In Transit",IF(K4&lt;=J4,"On Time","Delayed")))</f>
        <v>In Transit</v>
      </c>
      <c r="AI4" s="26" t="str">
        <f aca="false">IFERROR(IF(AND(ISNUMBER(U4),ISNUMBER(X4)),X4-U4,""),"")</f>
        <v/>
      </c>
      <c r="AJ4" s="26" t="str">
        <f aca="false">IF(AND(J4&lt;&gt;"",K4&lt;&gt;""),MAX(0,K4-J4),"")</f>
        <v/>
      </c>
      <c r="AK4" s="27" t="str">
        <f aca="false">IF(OR(ISNUMBER(SEARCH("เคลียร์สินค้าและจัดส่งสินค้าแล้ว",Z4)),ISNUMBER(SEARCH("เคลียร์สินค้าเรียบร้อย",Z4)),ISNUMBER(SEARCH("เคลียร์สินค้าและจัดส่งแล้ว",Z4)),ISNUMBER(SEARCH("จัดส่งสินค้าแล้ว",Z4))), "จบงานแล้ว", "")</f>
        <v/>
      </c>
      <c r="AL4" s="28"/>
      <c r="AM4" s="29"/>
      <c r="AN4" s="30"/>
      <c r="AO4" s="29"/>
    </row>
    <row r="5" s="24" customFormat="true" ht="18.75" hidden="false" customHeight="true" outlineLevel="0" collapsed="false">
      <c r="A5" s="31" t="n">
        <f aca="false">ROW()-ROW($A$2)+1</f>
        <v>4</v>
      </c>
      <c r="B5" s="32" t="s">
        <v>69</v>
      </c>
      <c r="C5" s="32" t="s">
        <v>70</v>
      </c>
      <c r="D5" s="32" t="s">
        <v>39</v>
      </c>
      <c r="E5" s="32" t="s">
        <v>40</v>
      </c>
      <c r="F5" s="32" t="s">
        <v>41</v>
      </c>
      <c r="G5" s="32" t="s">
        <v>71</v>
      </c>
      <c r="H5" s="33" t="s">
        <v>43</v>
      </c>
      <c r="I5" s="34" t="n">
        <v>46072</v>
      </c>
      <c r="J5" s="34"/>
      <c r="K5" s="31"/>
      <c r="L5" s="32" t="s">
        <v>44</v>
      </c>
      <c r="M5" s="32" t="s">
        <v>43</v>
      </c>
      <c r="N5" s="32" t="s">
        <v>72</v>
      </c>
      <c r="O5" s="35" t="s">
        <v>73</v>
      </c>
      <c r="P5" s="36" t="s">
        <v>74</v>
      </c>
      <c r="Q5" s="32" t="s">
        <v>75</v>
      </c>
      <c r="R5" s="32" t="s">
        <v>76</v>
      </c>
      <c r="S5" s="37" t="n">
        <f aca="false">TRUE()</f>
        <v>1</v>
      </c>
      <c r="T5" s="32" t="s">
        <v>77</v>
      </c>
      <c r="U5" s="38"/>
      <c r="V5" s="38" t="n">
        <v>46057</v>
      </c>
      <c r="W5" s="38"/>
      <c r="X5" s="38"/>
      <c r="Y5" s="38"/>
      <c r="Z5" s="32" t="s">
        <v>78</v>
      </c>
      <c r="AA5" s="39" t="b">
        <f aca="false">TRUE()</f>
        <v>1</v>
      </c>
      <c r="AB5" s="39" t="b">
        <f aca="false">TRUE()</f>
        <v>1</v>
      </c>
      <c r="AC5" s="32" t="s">
        <v>79</v>
      </c>
      <c r="AH5" s="27" t="str">
        <f aca="false">IF(AK5="จบงานแล้ว","จบงานแล้ว",IF(K5="","In Transit",IF(K5&lt;=J5,"On Time","Delayed")))</f>
        <v>In Transit</v>
      </c>
      <c r="AI5" s="26" t="str">
        <f aca="false">IFERROR(IF(AND(ISNUMBER(U5),ISNUMBER(X5)),X5-U5,""),"")</f>
        <v/>
      </c>
      <c r="AJ5" s="26" t="str">
        <f aca="false">IF(AND(J5&lt;&gt;"",K5&lt;&gt;""),MAX(0,K5-J5),"")</f>
        <v/>
      </c>
      <c r="AK5" s="27" t="str">
        <f aca="false">IF(OR(ISNUMBER(SEARCH("เคลียร์สินค้าและจัดส่งสินค้าแล้ว",Z5)),ISNUMBER(SEARCH("เคลียร์สินค้าเรียบร้อย",Z5)),ISNUMBER(SEARCH("เคลียร์สินค้าและจัดส่งแล้ว",Z5)),ISNUMBER(SEARCH("จัดส่งสินค้าแล้ว",Z5))), "จบงานแล้ว", "")</f>
        <v/>
      </c>
      <c r="AL5" s="40"/>
      <c r="AM5" s="41"/>
      <c r="AN5" s="42"/>
      <c r="AO5" s="41"/>
    </row>
    <row r="6" s="24" customFormat="true" ht="18.75" hidden="false" customHeight="true" outlineLevel="0" collapsed="false">
      <c r="A6" s="16" t="n">
        <f aca="false">ROW()-ROW($A$2)+1</f>
        <v>5</v>
      </c>
      <c r="B6" s="17" t="s">
        <v>69</v>
      </c>
      <c r="C6" s="17" t="s">
        <v>70</v>
      </c>
      <c r="D6" s="17" t="s">
        <v>39</v>
      </c>
      <c r="E6" s="17" t="s">
        <v>40</v>
      </c>
      <c r="F6" s="17" t="s">
        <v>54</v>
      </c>
      <c r="G6" s="17" t="s">
        <v>71</v>
      </c>
      <c r="H6" s="18" t="s">
        <v>43</v>
      </c>
      <c r="I6" s="19" t="n">
        <v>46074</v>
      </c>
      <c r="J6" s="19"/>
      <c r="K6" s="16"/>
      <c r="L6" s="17" t="s">
        <v>44</v>
      </c>
      <c r="M6" s="17" t="s">
        <v>43</v>
      </c>
      <c r="N6" s="17" t="s">
        <v>80</v>
      </c>
      <c r="O6" s="20" t="s">
        <v>81</v>
      </c>
      <c r="P6" s="21" t="s">
        <v>82</v>
      </c>
      <c r="Q6" s="17" t="s">
        <v>83</v>
      </c>
      <c r="R6" s="17" t="s">
        <v>84</v>
      </c>
      <c r="S6" s="43" t="n">
        <f aca="false">FALSE()</f>
        <v>0</v>
      </c>
      <c r="T6" s="17" t="s">
        <v>77</v>
      </c>
      <c r="U6" s="23"/>
      <c r="V6" s="23" t="n">
        <v>46063</v>
      </c>
      <c r="W6" s="23"/>
      <c r="X6" s="23"/>
      <c r="Y6" s="23"/>
      <c r="Z6" s="17" t="s">
        <v>85</v>
      </c>
      <c r="AA6" s="22" t="b">
        <f aca="false">TRUE()</f>
        <v>1</v>
      </c>
      <c r="AB6" s="22" t="b">
        <f aca="false">TRUE()</f>
        <v>1</v>
      </c>
      <c r="AC6" s="17" t="s">
        <v>86</v>
      </c>
      <c r="AH6" s="27" t="str">
        <f aca="false">IF(AK6="จบงานแล้ว","จบงานแล้ว",IF(K6="","In Transit",IF(K6&lt;=J6,"On Time","Delayed")))</f>
        <v>In Transit</v>
      </c>
      <c r="AI6" s="26" t="str">
        <f aca="false">IFERROR(IF(AND(ISNUMBER(U6),ISNUMBER(X6)),X6-U6,""),"")</f>
        <v/>
      </c>
      <c r="AJ6" s="26" t="str">
        <f aca="false">IF(AND(J6&lt;&gt;"",K6&lt;&gt;""),MAX(0,K6-J6),"")</f>
        <v/>
      </c>
      <c r="AK6" s="27" t="str">
        <f aca="false">IF(OR(ISNUMBER(SEARCH("เคลียร์สินค้าและจัดส่งสินค้าแล้ว",Z6)),ISNUMBER(SEARCH("เคลียร์สินค้าเรียบร้อย",Z6)),ISNUMBER(SEARCH("เคลียร์สินค้าและจัดส่งแล้ว",Z6)),ISNUMBER(SEARCH("จัดส่งสินค้าแล้ว",Z6))), "จบงานแล้ว", "")</f>
        <v/>
      </c>
      <c r="AL6" s="28"/>
      <c r="AM6" s="29"/>
      <c r="AN6" s="30"/>
      <c r="AO6" s="29"/>
    </row>
    <row r="7" s="44" customFormat="true" ht="18.75" hidden="false" customHeight="true" outlineLevel="0" collapsed="false">
      <c r="A7" s="31" t="n">
        <f aca="false">ROW()-ROW($A$2)+1</f>
        <v>6</v>
      </c>
      <c r="B7" s="32" t="s">
        <v>69</v>
      </c>
      <c r="C7" s="32" t="s">
        <v>87</v>
      </c>
      <c r="D7" s="32" t="s">
        <v>39</v>
      </c>
      <c r="E7" s="32" t="s">
        <v>40</v>
      </c>
      <c r="F7" s="32" t="s">
        <v>54</v>
      </c>
      <c r="G7" s="32" t="s">
        <v>71</v>
      </c>
      <c r="H7" s="33" t="s">
        <v>43</v>
      </c>
      <c r="I7" s="34" t="n">
        <v>46072</v>
      </c>
      <c r="J7" s="34"/>
      <c r="K7" s="31"/>
      <c r="L7" s="32" t="s">
        <v>44</v>
      </c>
      <c r="M7" s="32" t="s">
        <v>43</v>
      </c>
      <c r="N7" s="32" t="s">
        <v>88</v>
      </c>
      <c r="O7" s="35" t="s">
        <v>89</v>
      </c>
      <c r="P7" s="36" t="s">
        <v>90</v>
      </c>
      <c r="Q7" s="32" t="s">
        <v>91</v>
      </c>
      <c r="R7" s="32" t="s">
        <v>92</v>
      </c>
      <c r="S7" s="37" t="n">
        <f aca="false">TRUE()</f>
        <v>1</v>
      </c>
      <c r="T7" s="32" t="s">
        <v>77</v>
      </c>
      <c r="U7" s="38"/>
      <c r="V7" s="38" t="n">
        <v>46057</v>
      </c>
      <c r="W7" s="38"/>
      <c r="X7" s="38"/>
      <c r="Y7" s="38"/>
      <c r="Z7" s="32" t="s">
        <v>93</v>
      </c>
      <c r="AA7" s="39" t="b">
        <f aca="false">TRUE()</f>
        <v>1</v>
      </c>
      <c r="AB7" s="39" t="b">
        <f aca="false">TRUE()</f>
        <v>1</v>
      </c>
      <c r="AC7" s="32" t="s">
        <v>94</v>
      </c>
      <c r="AH7" s="27" t="str">
        <f aca="false">IF(AK7="จบงานแล้ว","จบงานแล้ว",IF(K7="","In Transit",IF(K7&lt;=J7,"On Time","Delayed")))</f>
        <v>In Transit</v>
      </c>
      <c r="AI7" s="26" t="str">
        <f aca="false">IFERROR(IF(AND(ISNUMBER(U7),ISNUMBER(X7)),X7-U7,""),"")</f>
        <v/>
      </c>
      <c r="AJ7" s="26" t="str">
        <f aca="false">IF(AND(J7&lt;&gt;"",K7&lt;&gt;""),MAX(0,K7-J7),"")</f>
        <v/>
      </c>
      <c r="AK7" s="27" t="str">
        <f aca="false">IF(OR(ISNUMBER(SEARCH("เคลียร์สินค้าและจัดส่งสินค้าแล้ว",Z7)),ISNUMBER(SEARCH("เคลียร์สินค้าเรียบร้อย",Z7)),ISNUMBER(SEARCH("เคลียร์สินค้าและจัดส่งแล้ว",Z7)),ISNUMBER(SEARCH("จัดส่งสินค้าแล้ว",Z7))), "จบงานแล้ว", "")</f>
        <v/>
      </c>
      <c r="AL7" s="40"/>
      <c r="AM7" s="41"/>
      <c r="AN7" s="42"/>
      <c r="AO7" s="41"/>
    </row>
    <row r="8" s="2" customFormat="true" ht="18.75" hidden="false" customHeight="true" outlineLevel="0" collapsed="false">
      <c r="A8" s="16" t="n">
        <f aca="false">ROW()-ROW($A$2)+1</f>
        <v>7</v>
      </c>
      <c r="B8" s="17" t="s">
        <v>69</v>
      </c>
      <c r="C8" s="17" t="s">
        <v>95</v>
      </c>
      <c r="D8" s="17" t="s">
        <v>96</v>
      </c>
      <c r="E8" s="17" t="s">
        <v>40</v>
      </c>
      <c r="F8" s="17" t="s">
        <v>54</v>
      </c>
      <c r="G8" s="17" t="s">
        <v>97</v>
      </c>
      <c r="H8" s="18" t="s">
        <v>43</v>
      </c>
      <c r="I8" s="19" t="n">
        <v>46064</v>
      </c>
      <c r="J8" s="19" t="n">
        <v>46070</v>
      </c>
      <c r="K8" s="16"/>
      <c r="L8" s="17" t="s">
        <v>98</v>
      </c>
      <c r="M8" s="17" t="s">
        <v>99</v>
      </c>
      <c r="N8" s="17" t="s">
        <v>100</v>
      </c>
      <c r="O8" s="20" t="s">
        <v>101</v>
      </c>
      <c r="P8" s="21" t="s">
        <v>102</v>
      </c>
      <c r="Q8" s="17" t="s">
        <v>103</v>
      </c>
      <c r="R8" s="17" t="s">
        <v>104</v>
      </c>
      <c r="S8" s="43" t="n">
        <f aca="false">TRUE()</f>
        <v>1</v>
      </c>
      <c r="T8" s="17" t="s">
        <v>77</v>
      </c>
      <c r="U8" s="23"/>
      <c r="V8" s="23" t="n">
        <v>46069</v>
      </c>
      <c r="W8" s="23"/>
      <c r="X8" s="23"/>
      <c r="Y8" s="23"/>
      <c r="Z8" s="17" t="s">
        <v>105</v>
      </c>
      <c r="AA8" s="22" t="b">
        <f aca="false">TRUE()</f>
        <v>1</v>
      </c>
      <c r="AB8" s="22" t="b">
        <f aca="false">TRUE()</f>
        <v>1</v>
      </c>
      <c r="AC8" s="17" t="s">
        <v>79</v>
      </c>
      <c r="AH8" s="27" t="str">
        <f aca="false">IF(AK8="จบงานแล้ว","จบงานแล้ว",IF(K8="","In Transit",IF(K8&lt;=J8,"On Time","Delayed")))</f>
        <v>In Transit</v>
      </c>
      <c r="AI8" s="26" t="str">
        <f aca="false">IFERROR(IF(AND(ISNUMBER(U8),ISNUMBER(X8)),X8-U8,""),"")</f>
        <v/>
      </c>
      <c r="AJ8" s="26" t="str">
        <f aca="false">IF(AND(J8&lt;&gt;"",K8&lt;&gt;""),MAX(0,K8-J8),"")</f>
        <v/>
      </c>
      <c r="AK8" s="27" t="str">
        <f aca="false">IF(OR(ISNUMBER(SEARCH("เคลียร์สินค้าและจัดส่งสินค้าแล้ว",Z8)),ISNUMBER(SEARCH("เคลียร์สินค้าเรียบร้อย",Z8)),ISNUMBER(SEARCH("เคลียร์สินค้าและจัดส่งแล้ว",Z8)),ISNUMBER(SEARCH("จัดส่งสินค้าแล้ว",Z8))), "จบงานแล้ว", "")</f>
        <v/>
      </c>
      <c r="AL8" s="28"/>
      <c r="AM8" s="29"/>
      <c r="AN8" s="30"/>
      <c r="AO8" s="29"/>
    </row>
    <row r="9" s="2" customFormat="true" ht="18.75" hidden="false" customHeight="true" outlineLevel="0" collapsed="false">
      <c r="A9" s="31" t="n">
        <f aca="false">ROW()-ROW($A$2)+1</f>
        <v>8</v>
      </c>
      <c r="B9" s="32" t="s">
        <v>106</v>
      </c>
      <c r="C9" s="32" t="s">
        <v>107</v>
      </c>
      <c r="D9" s="32" t="s">
        <v>108</v>
      </c>
      <c r="E9" s="32" t="s">
        <v>40</v>
      </c>
      <c r="F9" s="32" t="s">
        <v>54</v>
      </c>
      <c r="G9" s="32" t="s">
        <v>109</v>
      </c>
      <c r="H9" s="33" t="s">
        <v>43</v>
      </c>
      <c r="I9" s="34" t="n">
        <v>46065</v>
      </c>
      <c r="J9" s="34" t="n">
        <v>46073</v>
      </c>
      <c r="K9" s="31"/>
      <c r="L9" s="32" t="s">
        <v>98</v>
      </c>
      <c r="M9" s="32" t="s">
        <v>99</v>
      </c>
      <c r="N9" s="32" t="s">
        <v>110</v>
      </c>
      <c r="O9" s="35" t="s">
        <v>111</v>
      </c>
      <c r="P9" s="36" t="s">
        <v>112</v>
      </c>
      <c r="Q9" s="32" t="s">
        <v>113</v>
      </c>
      <c r="R9" s="32" t="s">
        <v>114</v>
      </c>
      <c r="S9" s="37" t="n">
        <f aca="false">TRUE()</f>
        <v>1</v>
      </c>
      <c r="T9" s="32" t="s">
        <v>77</v>
      </c>
      <c r="U9" s="38" t="n">
        <v>46070</v>
      </c>
      <c r="V9" s="38" t="n">
        <v>46070</v>
      </c>
      <c r="W9" s="38" t="s">
        <v>43</v>
      </c>
      <c r="X9" s="38" t="n">
        <v>46070</v>
      </c>
      <c r="Y9" s="38" t="n">
        <v>46070</v>
      </c>
      <c r="Z9" s="32" t="s">
        <v>115</v>
      </c>
      <c r="AA9" s="39" t="b">
        <f aca="false">TRUE()</f>
        <v>1</v>
      </c>
      <c r="AB9" s="39" t="b">
        <f aca="false">TRUE()</f>
        <v>1</v>
      </c>
      <c r="AC9" s="32" t="s">
        <v>116</v>
      </c>
      <c r="AH9" s="27" t="str">
        <f aca="false">IF(AK9="จบงานแล้ว","จบงานแล้ว",IF(K9="","In Transit",IF(K9&lt;=J9,"On Time","Delayed")))</f>
        <v>In Transit</v>
      </c>
      <c r="AI9" s="26" t="n">
        <f aca="false">IFERROR(IF(AND(ISNUMBER(U9),ISNUMBER(X9)),X9-U9,""),"")</f>
        <v>0</v>
      </c>
      <c r="AJ9" s="26" t="str">
        <f aca="false">IF(AND(J9&lt;&gt;"",K9&lt;&gt;""),MAX(0,K9-J9),"")</f>
        <v/>
      </c>
      <c r="AK9" s="27" t="str">
        <f aca="false">IF(OR(ISNUMBER(SEARCH("เคลียร์สินค้าและจัดส่งสินค้าแล้ว",Z9)),ISNUMBER(SEARCH("เคลียร์สินค้าเรียบร้อย",Z9)),ISNUMBER(SEARCH("เคลียร์สินค้าและจัดส่งแล้ว",Z9)),ISNUMBER(SEARCH("จัดส่งสินค้าแล้ว",Z9))), "จบงานแล้ว", "")</f>
        <v/>
      </c>
      <c r="AL9" s="40"/>
      <c r="AM9" s="41"/>
      <c r="AN9" s="42"/>
      <c r="AO9" s="41"/>
    </row>
    <row r="10" customFormat="false" ht="18.75" hidden="false" customHeight="true" outlineLevel="0" collapsed="false">
      <c r="A10" s="16"/>
      <c r="B10" s="17"/>
      <c r="C10" s="17"/>
      <c r="D10" s="17"/>
      <c r="E10" s="17"/>
      <c r="F10" s="17"/>
      <c r="G10" s="17"/>
      <c r="H10" s="18"/>
      <c r="I10" s="19"/>
      <c r="J10" s="19"/>
      <c r="K10" s="16"/>
      <c r="L10" s="17"/>
      <c r="M10" s="17"/>
      <c r="N10" s="17"/>
      <c r="O10" s="20"/>
      <c r="P10" s="21"/>
      <c r="Q10" s="17"/>
      <c r="R10" s="17"/>
      <c r="S10" s="43" t="n">
        <f aca="false">FALSE()</f>
        <v>0</v>
      </c>
      <c r="T10" s="17"/>
      <c r="U10" s="23"/>
      <c r="V10" s="23"/>
      <c r="W10" s="23"/>
      <c r="X10" s="23"/>
      <c r="Y10" s="23"/>
      <c r="Z10" s="17"/>
      <c r="AA10" s="22" t="b">
        <f aca="false">FALSE()</f>
        <v>0</v>
      </c>
      <c r="AB10" s="22" t="b">
        <f aca="false">FALSE()</f>
        <v>0</v>
      </c>
      <c r="AC10" s="17"/>
      <c r="AH10" s="27" t="str">
        <f aca="false">IF(AK10="จบงานแล้ว","จบงานแล้ว",IF(K10="","In Transit",IF(K10&lt;=J10,"On Time","Delayed")))</f>
        <v>In Transit</v>
      </c>
      <c r="AI10" s="26" t="str">
        <f aca="false">IFERROR(IF(AND(ISNUMBER(U10),ISNUMBER(X10)),X10-U10,""),"")</f>
        <v/>
      </c>
      <c r="AJ10" s="26" t="str">
        <f aca="false">IF(AND(J10&lt;&gt;"",K10&lt;&gt;""),MAX(0,K10-J10),"")</f>
        <v/>
      </c>
      <c r="AK10" s="27" t="str">
        <f aca="false">IF(OR(ISNUMBER(SEARCH("เคลียร์สินค้าและจัดส่งสินค้าแล้ว",Z10)),ISNUMBER(SEARCH("เคลียร์สินค้าเรียบร้อย",Z10)),ISNUMBER(SEARCH("เคลียร์สินค้าและจัดส่งแล้ว",Z10)),ISNUMBER(SEARCH("จัดส่งสินค้าแล้ว",Z10))), "จบงานแล้ว", "")</f>
        <v/>
      </c>
      <c r="AL10" s="28"/>
      <c r="AM10" s="29"/>
      <c r="AN10" s="30"/>
      <c r="AO10" s="29"/>
    </row>
    <row r="11" customFormat="false" ht="18.75" hidden="false" customHeight="true" outlineLevel="0" collapsed="false">
      <c r="A11" s="31"/>
      <c r="B11" s="32"/>
      <c r="C11" s="32"/>
      <c r="D11" s="32"/>
      <c r="E11" s="32"/>
      <c r="F11" s="32"/>
      <c r="G11" s="32"/>
      <c r="H11" s="33"/>
      <c r="I11" s="34"/>
      <c r="J11" s="34"/>
      <c r="K11" s="31"/>
      <c r="L11" s="32"/>
      <c r="M11" s="32"/>
      <c r="N11" s="32"/>
      <c r="O11" s="35"/>
      <c r="P11" s="36"/>
      <c r="Q11" s="32"/>
      <c r="R11" s="32"/>
      <c r="S11" s="39" t="b">
        <f aca="false">FALSE()</f>
        <v>0</v>
      </c>
      <c r="T11" s="32"/>
      <c r="U11" s="38"/>
      <c r="V11" s="38"/>
      <c r="W11" s="38"/>
      <c r="X11" s="38"/>
      <c r="Y11" s="38"/>
      <c r="Z11" s="32"/>
      <c r="AA11" s="39" t="b">
        <f aca="false">FALSE()</f>
        <v>0</v>
      </c>
      <c r="AB11" s="39" t="b">
        <f aca="false">FALSE()</f>
        <v>0</v>
      </c>
      <c r="AC11" s="32"/>
      <c r="AH11" s="27" t="str">
        <f aca="false">IF(AK11="จบงานแล้ว","จบงานแล้ว",IF(K11="","In Transit",IF(K11&lt;=J11,"On Time","Delayed")))</f>
        <v>In Transit</v>
      </c>
      <c r="AI11" s="26" t="str">
        <f aca="false">IFERROR(IF(AND(ISNUMBER(U11),ISNUMBER(X11)),X11-U11,""),"")</f>
        <v/>
      </c>
      <c r="AJ11" s="26" t="str">
        <f aca="false">IF(AND(J11&lt;&gt;"",K11&lt;&gt;""),MAX(0,K11-J11),"")</f>
        <v/>
      </c>
      <c r="AK11" s="27" t="str">
        <f aca="false">IF(OR(ISNUMBER(SEARCH("เคลียร์สินค้าและจัดส่งสินค้าแล้ว",Z11)),ISNUMBER(SEARCH("เคลียร์สินค้าเรียบร้อย",Z11)),ISNUMBER(SEARCH("เคลียร์สินค้าและจัดส่งแล้ว",Z11)),ISNUMBER(SEARCH("จัดส่งสินค้าแล้ว",Z11))), "จบงานแล้ว", "")</f>
        <v/>
      </c>
      <c r="AL11" s="40"/>
      <c r="AM11" s="41"/>
      <c r="AN11" s="42"/>
      <c r="AO11" s="41"/>
    </row>
    <row r="12" s="24" customFormat="true" ht="18.75" hidden="false" customHeight="true" outlineLevel="0" collapsed="false">
      <c r="A12" s="16" t="n">
        <f aca="false">ROW()-ROW($A$2)+1</f>
        <v>11</v>
      </c>
      <c r="B12" s="17" t="s">
        <v>117</v>
      </c>
      <c r="C12" s="17" t="s">
        <v>118</v>
      </c>
      <c r="D12" s="17" t="s">
        <v>119</v>
      </c>
      <c r="E12" s="17" t="s">
        <v>40</v>
      </c>
      <c r="F12" s="17" t="s">
        <v>54</v>
      </c>
      <c r="G12" s="17" t="s">
        <v>120</v>
      </c>
      <c r="H12" s="18" t="s">
        <v>43</v>
      </c>
      <c r="I12" s="19" t="n">
        <v>46064</v>
      </c>
      <c r="J12" s="19" t="n">
        <v>46071</v>
      </c>
      <c r="K12" s="16"/>
      <c r="L12" s="17" t="s">
        <v>44</v>
      </c>
      <c r="M12" s="17" t="s">
        <v>43</v>
      </c>
      <c r="N12" s="17" t="s">
        <v>121</v>
      </c>
      <c r="O12" s="20" t="s">
        <v>122</v>
      </c>
      <c r="P12" s="21" t="s">
        <v>123</v>
      </c>
      <c r="Q12" s="17" t="s">
        <v>124</v>
      </c>
      <c r="R12" s="17" t="s">
        <v>125</v>
      </c>
      <c r="S12" s="43" t="n">
        <f aca="false">FALSE()</f>
        <v>0</v>
      </c>
      <c r="T12" s="17" t="s">
        <v>126</v>
      </c>
      <c r="U12" s="23" t="n">
        <v>46059</v>
      </c>
      <c r="V12" s="23" t="n">
        <v>46059</v>
      </c>
      <c r="W12" s="23"/>
      <c r="X12" s="23" t="n">
        <v>46072</v>
      </c>
      <c r="Y12" s="23" t="n">
        <v>46073</v>
      </c>
      <c r="Z12" s="17" t="s">
        <v>127</v>
      </c>
      <c r="AA12" s="22" t="b">
        <f aca="false">TRUE()</f>
        <v>1</v>
      </c>
      <c r="AB12" s="22" t="b">
        <f aca="false">TRUE()</f>
        <v>1</v>
      </c>
      <c r="AC12" s="17" t="s">
        <v>52</v>
      </c>
      <c r="AH12" s="27" t="str">
        <f aca="false">IF(AK12="จบงานแล้ว","จบงานแล้ว",IF(K12="","In Transit",IF(K12&lt;=J12,"On Time","Delayed")))</f>
        <v>In Transit</v>
      </c>
      <c r="AI12" s="26" t="n">
        <f aca="false">IFERROR(IF(AND(ISNUMBER(U12),ISNUMBER(X12)),X12-U12,""),"")</f>
        <v>13</v>
      </c>
      <c r="AJ12" s="26" t="str">
        <f aca="false">IF(AND(J12&lt;&gt;"",K12&lt;&gt;""),MAX(0,K12-J12),"")</f>
        <v/>
      </c>
      <c r="AK12" s="27" t="str">
        <f aca="false">IF(OR(ISNUMBER(SEARCH("เคลียร์สินค้าและจัดส่งสินค้าแล้ว",Z12)),ISNUMBER(SEARCH("เคลียร์สินค้าเรียบร้อย",Z12)),ISNUMBER(SEARCH("เคลียร์สินค้าและจัดส่งแล้ว",Z12)),ISNUMBER(SEARCH("จัดส่งสินค้าแล้ว",Z12))), "จบงานแล้ว", "")</f>
        <v/>
      </c>
      <c r="AL12" s="28"/>
      <c r="AM12" s="29"/>
      <c r="AN12" s="30"/>
      <c r="AO12" s="29"/>
    </row>
    <row r="13" customFormat="false" ht="18.75" hidden="false" customHeight="true" outlineLevel="0" collapsed="false">
      <c r="A13" s="31" t="n">
        <f aca="false">ROW()-ROW($A$2)+1</f>
        <v>12</v>
      </c>
      <c r="B13" s="32" t="s">
        <v>117</v>
      </c>
      <c r="C13" s="32" t="s">
        <v>128</v>
      </c>
      <c r="D13" s="32" t="s">
        <v>129</v>
      </c>
      <c r="E13" s="32" t="s">
        <v>130</v>
      </c>
      <c r="F13" s="32" t="s">
        <v>54</v>
      </c>
      <c r="G13" s="32" t="s">
        <v>131</v>
      </c>
      <c r="H13" s="33" t="s">
        <v>43</v>
      </c>
      <c r="I13" s="34" t="n">
        <v>46050</v>
      </c>
      <c r="J13" s="34" t="n">
        <v>46057</v>
      </c>
      <c r="K13" s="31"/>
      <c r="L13" s="32" t="s">
        <v>44</v>
      </c>
      <c r="M13" s="32" t="s">
        <v>43</v>
      </c>
      <c r="N13" s="32" t="s">
        <v>132</v>
      </c>
      <c r="O13" s="35" t="s">
        <v>133</v>
      </c>
      <c r="P13" s="36" t="s">
        <v>134</v>
      </c>
      <c r="Q13" s="32" t="s">
        <v>135</v>
      </c>
      <c r="R13" s="32" t="s">
        <v>136</v>
      </c>
      <c r="S13" s="37" t="n">
        <f aca="false">FALSE()</f>
        <v>0</v>
      </c>
      <c r="T13" s="32" t="s">
        <v>126</v>
      </c>
      <c r="U13" s="38" t="n">
        <v>46035</v>
      </c>
      <c r="V13" s="38" t="n">
        <v>46035</v>
      </c>
      <c r="W13" s="38"/>
      <c r="X13" s="38" t="n">
        <v>46062</v>
      </c>
      <c r="Y13" s="38" t="n">
        <v>46063</v>
      </c>
      <c r="Z13" s="32" t="s">
        <v>51</v>
      </c>
      <c r="AA13" s="39" t="b">
        <f aca="false">TRUE()</f>
        <v>1</v>
      </c>
      <c r="AB13" s="39" t="b">
        <f aca="false">TRUE()</f>
        <v>1</v>
      </c>
      <c r="AC13" s="32" t="s">
        <v>52</v>
      </c>
      <c r="AH13" s="27" t="str">
        <f aca="false">IF(AK13="จบงานแล้ว","จบงานแล้ว",IF(K13="","In Transit",IF(K13&lt;=J13,"On Time","Delayed")))</f>
        <v>จบงานแล้ว</v>
      </c>
      <c r="AI13" s="26" t="n">
        <f aca="false">IFERROR(IF(AND(ISNUMBER(U13),ISNUMBER(X13)),X13-U13,""),"")</f>
        <v>27</v>
      </c>
      <c r="AJ13" s="26" t="str">
        <f aca="false">IF(AND(J13&lt;&gt;"",K13&lt;&gt;""),MAX(0,K13-J13),"")</f>
        <v/>
      </c>
      <c r="AK13" s="27" t="str">
        <f aca="false">IF(OR(ISNUMBER(SEARCH("เคลียร์สินค้าและจัดส่งสินค้าแล้ว",Z13)),ISNUMBER(SEARCH("เคลียร์สินค้าเรียบร้อย",Z13)),ISNUMBER(SEARCH("เคลียร์สินค้าและจัดส่งแล้ว",Z13)),ISNUMBER(SEARCH("จัดส่งสินค้าแล้ว",Z13))), "จบงานแล้ว", "")</f>
        <v>จบงานแล้ว</v>
      </c>
      <c r="AL13" s="40"/>
      <c r="AM13" s="41"/>
      <c r="AN13" s="42"/>
      <c r="AO13" s="41"/>
    </row>
    <row r="14" s="2" customFormat="true" ht="18.75" hidden="false" customHeight="true" outlineLevel="0" collapsed="false">
      <c r="A14" s="16" t="n">
        <f aca="false">ROW()-ROW($A$2)+1</f>
        <v>13</v>
      </c>
      <c r="B14" s="17" t="s">
        <v>117</v>
      </c>
      <c r="C14" s="17" t="s">
        <v>137</v>
      </c>
      <c r="D14" s="17" t="s">
        <v>138</v>
      </c>
      <c r="E14" s="17" t="s">
        <v>130</v>
      </c>
      <c r="F14" s="17" t="s">
        <v>54</v>
      </c>
      <c r="G14" s="17" t="s">
        <v>139</v>
      </c>
      <c r="H14" s="18" t="s">
        <v>43</v>
      </c>
      <c r="I14" s="19" t="n">
        <v>46058</v>
      </c>
      <c r="J14" s="19" t="n">
        <v>46064</v>
      </c>
      <c r="K14" s="16"/>
      <c r="L14" s="17" t="s">
        <v>44</v>
      </c>
      <c r="M14" s="17" t="s">
        <v>43</v>
      </c>
      <c r="N14" s="17" t="s">
        <v>140</v>
      </c>
      <c r="O14" s="20" t="s">
        <v>141</v>
      </c>
      <c r="P14" s="21" t="s">
        <v>142</v>
      </c>
      <c r="Q14" s="17" t="s">
        <v>143</v>
      </c>
      <c r="R14" s="17" t="s">
        <v>144</v>
      </c>
      <c r="S14" s="43" t="n">
        <f aca="false">FALSE()</f>
        <v>0</v>
      </c>
      <c r="T14" s="17" t="s">
        <v>126</v>
      </c>
      <c r="U14" s="23" t="n">
        <v>46043</v>
      </c>
      <c r="V14" s="23" t="n">
        <v>46043</v>
      </c>
      <c r="W14" s="23"/>
      <c r="X14" s="23" t="n">
        <v>46070</v>
      </c>
      <c r="Y14" s="23" t="n">
        <v>46071</v>
      </c>
      <c r="Z14" s="17" t="s">
        <v>51</v>
      </c>
      <c r="AA14" s="22" t="b">
        <f aca="false">TRUE()</f>
        <v>1</v>
      </c>
      <c r="AB14" s="22" t="b">
        <f aca="false">TRUE()</f>
        <v>1</v>
      </c>
      <c r="AC14" s="17" t="s">
        <v>52</v>
      </c>
      <c r="AH14" s="27" t="str">
        <f aca="false">IF(AK14="จบงานแล้ว","จบงานแล้ว",IF(K14="","In Transit",IF(K14&lt;=J14,"On Time","Delayed")))</f>
        <v>จบงานแล้ว</v>
      </c>
      <c r="AI14" s="26" t="n">
        <f aca="false">IFERROR(IF(AND(ISNUMBER(U14),ISNUMBER(X14)),X14-U14,""),"")</f>
        <v>27</v>
      </c>
      <c r="AJ14" s="26" t="str">
        <f aca="false">IF(AND(J14&lt;&gt;"",K14&lt;&gt;""),MAX(0,K14-J14),"")</f>
        <v/>
      </c>
      <c r="AK14" s="27" t="str">
        <f aca="false">IF(OR(ISNUMBER(SEARCH("เคลียร์สินค้าและจัดส่งสินค้าแล้ว",Z14)),ISNUMBER(SEARCH("เคลียร์สินค้าเรียบร้อย",Z14)),ISNUMBER(SEARCH("เคลียร์สินค้าและจัดส่งแล้ว",Z14)),ISNUMBER(SEARCH("จัดส่งสินค้าแล้ว",Z14))), "จบงานแล้ว", "")</f>
        <v>จบงานแล้ว</v>
      </c>
      <c r="AL14" s="28"/>
      <c r="AM14" s="29"/>
      <c r="AN14" s="30"/>
      <c r="AO14" s="29"/>
    </row>
    <row r="15" s="2" customFormat="true" ht="18.75" hidden="false" customHeight="true" outlineLevel="0" collapsed="false">
      <c r="A15" s="31" t="n">
        <f aca="false">ROW()-ROW($A$2)+1</f>
        <v>14</v>
      </c>
      <c r="B15" s="32" t="s">
        <v>117</v>
      </c>
      <c r="C15" s="32" t="s">
        <v>145</v>
      </c>
      <c r="D15" s="32" t="s">
        <v>129</v>
      </c>
      <c r="E15" s="32" t="s">
        <v>130</v>
      </c>
      <c r="F15" s="32" t="s">
        <v>54</v>
      </c>
      <c r="G15" s="32" t="s">
        <v>131</v>
      </c>
      <c r="H15" s="33" t="s">
        <v>43</v>
      </c>
      <c r="I15" s="34" t="n">
        <v>46050</v>
      </c>
      <c r="J15" s="34" t="n">
        <v>46057</v>
      </c>
      <c r="K15" s="31"/>
      <c r="L15" s="32" t="s">
        <v>44</v>
      </c>
      <c r="M15" s="32" t="s">
        <v>43</v>
      </c>
      <c r="N15" s="32" t="s">
        <v>146</v>
      </c>
      <c r="O15" s="35" t="s">
        <v>147</v>
      </c>
      <c r="P15" s="36" t="s">
        <v>148</v>
      </c>
      <c r="Q15" s="32" t="s">
        <v>135</v>
      </c>
      <c r="R15" s="32" t="s">
        <v>149</v>
      </c>
      <c r="S15" s="37" t="n">
        <f aca="false">FALSE()</f>
        <v>0</v>
      </c>
      <c r="T15" s="32" t="s">
        <v>126</v>
      </c>
      <c r="U15" s="38" t="n">
        <v>46045</v>
      </c>
      <c r="V15" s="38" t="n">
        <v>46045</v>
      </c>
      <c r="W15" s="38"/>
      <c r="X15" s="38" t="n">
        <v>46062</v>
      </c>
      <c r="Y15" s="38" t="n">
        <v>46063</v>
      </c>
      <c r="Z15" s="32" t="s">
        <v>51</v>
      </c>
      <c r="AA15" s="39" t="b">
        <f aca="false">TRUE()</f>
        <v>1</v>
      </c>
      <c r="AB15" s="39" t="b">
        <f aca="false">TRUE()</f>
        <v>1</v>
      </c>
      <c r="AC15" s="32" t="s">
        <v>52</v>
      </c>
      <c r="AH15" s="27" t="str">
        <f aca="false">IF(AK15="จบงานแล้ว","จบงานแล้ว",IF(K15="","In Transit",IF(K15&lt;=J15,"On Time","Delayed")))</f>
        <v>จบงานแล้ว</v>
      </c>
      <c r="AI15" s="26" t="n">
        <f aca="false">IFERROR(IF(AND(ISNUMBER(U15),ISNUMBER(X15)),X15-U15,""),"")</f>
        <v>17</v>
      </c>
      <c r="AJ15" s="26" t="str">
        <f aca="false">IF(AND(J15&lt;&gt;"",K15&lt;&gt;""),MAX(0,K15-J15),"")</f>
        <v/>
      </c>
      <c r="AK15" s="27" t="str">
        <f aca="false">IF(OR(ISNUMBER(SEARCH("เคลียร์สินค้าและจัดส่งสินค้าแล้ว",Z15)),ISNUMBER(SEARCH("เคลียร์สินค้าเรียบร้อย",Z15)),ISNUMBER(SEARCH("เคลียร์สินค้าและจัดส่งแล้ว",Z15)),ISNUMBER(SEARCH("จัดส่งสินค้าแล้ว",Z15))), "จบงานแล้ว", "")</f>
        <v>จบงานแล้ว</v>
      </c>
      <c r="AL15" s="40"/>
      <c r="AM15" s="41"/>
      <c r="AN15" s="42"/>
      <c r="AO15" s="41"/>
    </row>
    <row r="16" s="2" customFormat="true" ht="18.75" hidden="false" customHeight="true" outlineLevel="0" collapsed="false">
      <c r="A16" s="16" t="n">
        <f aca="false">ROW()-ROW($A$2)+1</f>
        <v>15</v>
      </c>
      <c r="B16" s="17" t="s">
        <v>117</v>
      </c>
      <c r="C16" s="17" t="s">
        <v>150</v>
      </c>
      <c r="D16" s="17" t="s">
        <v>39</v>
      </c>
      <c r="E16" s="17" t="s">
        <v>130</v>
      </c>
      <c r="F16" s="17" t="s">
        <v>41</v>
      </c>
      <c r="G16" s="17" t="s">
        <v>71</v>
      </c>
      <c r="H16" s="18" t="s">
        <v>43</v>
      </c>
      <c r="I16" s="19" t="n">
        <v>46054</v>
      </c>
      <c r="J16" s="19" t="n">
        <v>46058</v>
      </c>
      <c r="K16" s="16"/>
      <c r="L16" s="17" t="s">
        <v>44</v>
      </c>
      <c r="M16" s="17" t="s">
        <v>43</v>
      </c>
      <c r="N16" s="17" t="s">
        <v>151</v>
      </c>
      <c r="O16" s="20" t="s">
        <v>152</v>
      </c>
      <c r="P16" s="21" t="s">
        <v>153</v>
      </c>
      <c r="Q16" s="17" t="s">
        <v>154</v>
      </c>
      <c r="R16" s="17" t="s">
        <v>155</v>
      </c>
      <c r="S16" s="43" t="n">
        <f aca="false">FALSE()</f>
        <v>0</v>
      </c>
      <c r="T16" s="17" t="s">
        <v>126</v>
      </c>
      <c r="U16" s="23" t="n">
        <v>46049</v>
      </c>
      <c r="V16" s="23" t="n">
        <v>46049</v>
      </c>
      <c r="W16" s="23"/>
      <c r="X16" s="23" t="n">
        <v>46064</v>
      </c>
      <c r="Y16" s="23" t="n">
        <v>46065</v>
      </c>
      <c r="Z16" s="17" t="s">
        <v>51</v>
      </c>
      <c r="AA16" s="22" t="b">
        <f aca="false">TRUE()</f>
        <v>1</v>
      </c>
      <c r="AB16" s="22" t="b">
        <f aca="false">TRUE()</f>
        <v>1</v>
      </c>
      <c r="AC16" s="17" t="s">
        <v>52</v>
      </c>
      <c r="AH16" s="27" t="str">
        <f aca="false">IF(AK16="จบงานแล้ว","จบงานแล้ว",IF(K16="","In Transit",IF(K16&lt;=J16,"On Time","Delayed")))</f>
        <v>จบงานแล้ว</v>
      </c>
      <c r="AI16" s="26" t="n">
        <f aca="false">IFERROR(IF(AND(ISNUMBER(U16),ISNUMBER(X16)),X16-U16,""),"")</f>
        <v>15</v>
      </c>
      <c r="AJ16" s="26" t="str">
        <f aca="false">IF(AND(J16&lt;&gt;"",K16&lt;&gt;""),MAX(0,K16-J16),"")</f>
        <v/>
      </c>
      <c r="AK16" s="27" t="str">
        <f aca="false">IF(OR(ISNUMBER(SEARCH("เคลียร์สินค้าและจัดส่งสินค้าแล้ว",Z16)),ISNUMBER(SEARCH("เคลียร์สินค้าเรียบร้อย",Z16)),ISNUMBER(SEARCH("เคลียร์สินค้าและจัดส่งแล้ว",Z16)),ISNUMBER(SEARCH("จัดส่งสินค้าแล้ว",Z16))), "จบงานแล้ว", "")</f>
        <v>จบงานแล้ว</v>
      </c>
      <c r="AL16" s="28"/>
      <c r="AM16" s="29"/>
      <c r="AN16" s="30"/>
      <c r="AO16" s="29"/>
    </row>
    <row r="17" s="2" customFormat="true" ht="18.75" hidden="false" customHeight="true" outlineLevel="0" collapsed="false">
      <c r="A17" s="31" t="n">
        <f aca="false">ROW()-ROW($A$2)+1</f>
        <v>16</v>
      </c>
      <c r="B17" s="32" t="s">
        <v>117</v>
      </c>
      <c r="C17" s="32" t="s">
        <v>156</v>
      </c>
      <c r="D17" s="32" t="s">
        <v>39</v>
      </c>
      <c r="E17" s="32" t="s">
        <v>130</v>
      </c>
      <c r="F17" s="32" t="s">
        <v>54</v>
      </c>
      <c r="G17" s="32" t="s">
        <v>71</v>
      </c>
      <c r="H17" s="33" t="s">
        <v>43</v>
      </c>
      <c r="I17" s="34" t="n">
        <v>46049</v>
      </c>
      <c r="J17" s="34" t="n">
        <v>46058</v>
      </c>
      <c r="K17" s="31"/>
      <c r="L17" s="32" t="s">
        <v>44</v>
      </c>
      <c r="M17" s="32" t="s">
        <v>43</v>
      </c>
      <c r="N17" s="32" t="s">
        <v>157</v>
      </c>
      <c r="O17" s="35" t="s">
        <v>158</v>
      </c>
      <c r="P17" s="36" t="s">
        <v>159</v>
      </c>
      <c r="Q17" s="32" t="s">
        <v>160</v>
      </c>
      <c r="R17" s="32" t="s">
        <v>161</v>
      </c>
      <c r="S17" s="37" t="n">
        <f aca="false">FALSE()</f>
        <v>0</v>
      </c>
      <c r="T17" s="32" t="s">
        <v>126</v>
      </c>
      <c r="U17" s="38" t="n">
        <v>46052</v>
      </c>
      <c r="V17" s="38" t="n">
        <v>46052</v>
      </c>
      <c r="W17" s="38"/>
      <c r="X17" s="38" t="n">
        <v>46064</v>
      </c>
      <c r="Y17" s="38" t="n">
        <v>46065</v>
      </c>
      <c r="Z17" s="32" t="s">
        <v>51</v>
      </c>
      <c r="AA17" s="39" t="b">
        <f aca="false">TRUE()</f>
        <v>1</v>
      </c>
      <c r="AB17" s="39" t="b">
        <f aca="false">TRUE()</f>
        <v>1</v>
      </c>
      <c r="AC17" s="32" t="s">
        <v>52</v>
      </c>
      <c r="AH17" s="27" t="str">
        <f aca="false">IF(AK17="จบงานแล้ว","จบงานแล้ว",IF(K17="","In Transit",IF(K17&lt;=J17,"On Time","Delayed")))</f>
        <v>จบงานแล้ว</v>
      </c>
      <c r="AI17" s="26" t="n">
        <f aca="false">IFERROR(IF(AND(ISNUMBER(U17),ISNUMBER(X17)),X17-U17,""),"")</f>
        <v>12</v>
      </c>
      <c r="AJ17" s="26" t="str">
        <f aca="false">IF(AND(J17&lt;&gt;"",K17&lt;&gt;""),MAX(0,K17-J17),"")</f>
        <v/>
      </c>
      <c r="AK17" s="27" t="str">
        <f aca="false">IF(OR(ISNUMBER(SEARCH("เคลียร์สินค้าและจัดส่งสินค้าแล้ว",Z17)),ISNUMBER(SEARCH("เคลียร์สินค้าเรียบร้อย",Z17)),ISNUMBER(SEARCH("เคลียร์สินค้าและจัดส่งแล้ว",Z17)),ISNUMBER(SEARCH("จัดส่งสินค้าแล้ว",Z17))), "จบงานแล้ว", "")</f>
        <v>จบงานแล้ว</v>
      </c>
      <c r="AL17" s="40"/>
      <c r="AM17" s="41"/>
      <c r="AN17" s="42"/>
      <c r="AO17" s="41"/>
    </row>
    <row r="18" s="2" customFormat="true" ht="18.75" hidden="false" customHeight="true" outlineLevel="0" collapsed="false">
      <c r="A18" s="16" t="n">
        <f aca="false">ROW()-ROW($A$2)+1</f>
        <v>17</v>
      </c>
      <c r="B18" s="17" t="s">
        <v>117</v>
      </c>
      <c r="C18" s="17" t="s">
        <v>162</v>
      </c>
      <c r="D18" s="17" t="s">
        <v>129</v>
      </c>
      <c r="E18" s="17" t="s">
        <v>130</v>
      </c>
      <c r="F18" s="17" t="s">
        <v>54</v>
      </c>
      <c r="G18" s="17" t="s">
        <v>131</v>
      </c>
      <c r="H18" s="18" t="s">
        <v>43</v>
      </c>
      <c r="I18" s="19" t="n">
        <v>46045</v>
      </c>
      <c r="J18" s="19" t="n">
        <v>46053</v>
      </c>
      <c r="K18" s="16"/>
      <c r="L18" s="17" t="s">
        <v>44</v>
      </c>
      <c r="M18" s="17" t="s">
        <v>43</v>
      </c>
      <c r="N18" s="17" t="s">
        <v>163</v>
      </c>
      <c r="O18" s="20" t="s">
        <v>164</v>
      </c>
      <c r="P18" s="21" t="s">
        <v>165</v>
      </c>
      <c r="Q18" s="17" t="s">
        <v>166</v>
      </c>
      <c r="R18" s="17" t="s">
        <v>167</v>
      </c>
      <c r="S18" s="43" t="n">
        <f aca="false">FALSE()</f>
        <v>0</v>
      </c>
      <c r="T18" s="17" t="s">
        <v>126</v>
      </c>
      <c r="U18" s="23" t="n">
        <v>46042</v>
      </c>
      <c r="V18" s="23" t="n">
        <v>46042</v>
      </c>
      <c r="W18" s="23"/>
      <c r="X18" s="23" t="n">
        <v>46058</v>
      </c>
      <c r="Y18" s="23" t="n">
        <v>46059</v>
      </c>
      <c r="Z18" s="17" t="s">
        <v>51</v>
      </c>
      <c r="AA18" s="22" t="b">
        <f aca="false">TRUE()</f>
        <v>1</v>
      </c>
      <c r="AB18" s="22" t="b">
        <f aca="false">TRUE()</f>
        <v>1</v>
      </c>
      <c r="AC18" s="17" t="s">
        <v>52</v>
      </c>
      <c r="AH18" s="27" t="str">
        <f aca="false">IF(AK18="จบงานแล้ว","จบงานแล้ว",IF(K18="","In Transit",IF(K18&lt;=J18,"On Time","Delayed")))</f>
        <v>จบงานแล้ว</v>
      </c>
      <c r="AI18" s="26" t="n">
        <f aca="false">IFERROR(IF(AND(ISNUMBER(U18),ISNUMBER(X18)),X18-U18,""),"")</f>
        <v>16</v>
      </c>
      <c r="AJ18" s="26" t="str">
        <f aca="false">IF(AND(J18&lt;&gt;"",K18&lt;&gt;""),MAX(0,K18-J18),"")</f>
        <v/>
      </c>
      <c r="AK18" s="27" t="str">
        <f aca="false">IF(OR(ISNUMBER(SEARCH("เคลียร์สินค้าและจัดส่งสินค้าแล้ว",Z18)),ISNUMBER(SEARCH("เคลียร์สินค้าเรียบร้อย",Z18)),ISNUMBER(SEARCH("เคลียร์สินค้าและจัดส่งแล้ว",Z18)),ISNUMBER(SEARCH("จัดส่งสินค้าแล้ว",Z18))), "จบงานแล้ว", "")</f>
        <v>จบงานแล้ว</v>
      </c>
      <c r="AL18" s="28"/>
      <c r="AM18" s="29"/>
      <c r="AN18" s="30"/>
      <c r="AO18" s="29"/>
    </row>
    <row r="19" s="2" customFormat="true" ht="18.75" hidden="false" customHeight="true" outlineLevel="0" collapsed="false">
      <c r="A19" s="31" t="n">
        <f aca="false">ROW()-ROW($A$2)+1</f>
        <v>18</v>
      </c>
      <c r="B19" s="32" t="s">
        <v>117</v>
      </c>
      <c r="C19" s="32" t="s">
        <v>168</v>
      </c>
      <c r="D19" s="32" t="s">
        <v>169</v>
      </c>
      <c r="E19" s="32" t="s">
        <v>130</v>
      </c>
      <c r="F19" s="32" t="s">
        <v>54</v>
      </c>
      <c r="G19" s="32" t="s">
        <v>170</v>
      </c>
      <c r="H19" s="33" t="s">
        <v>43</v>
      </c>
      <c r="I19" s="34" t="n">
        <v>46054</v>
      </c>
      <c r="J19" s="34" t="n">
        <v>46066</v>
      </c>
      <c r="K19" s="31"/>
      <c r="L19" s="32" t="s">
        <v>44</v>
      </c>
      <c r="M19" s="32" t="s">
        <v>43</v>
      </c>
      <c r="N19" s="32" t="s">
        <v>171</v>
      </c>
      <c r="O19" s="35" t="s">
        <v>172</v>
      </c>
      <c r="P19" s="36" t="s">
        <v>173</v>
      </c>
      <c r="Q19" s="32" t="s">
        <v>174</v>
      </c>
      <c r="R19" s="32" t="s">
        <v>175</v>
      </c>
      <c r="S19" s="37" t="n">
        <f aca="false">FALSE()</f>
        <v>0</v>
      </c>
      <c r="T19" s="32" t="s">
        <v>126</v>
      </c>
      <c r="U19" s="38" t="n">
        <v>46050</v>
      </c>
      <c r="V19" s="38" t="n">
        <v>46050</v>
      </c>
      <c r="W19" s="38"/>
      <c r="X19" s="38" t="n">
        <v>46070</v>
      </c>
      <c r="Y19" s="38" t="n">
        <v>46071</v>
      </c>
      <c r="Z19" s="32" t="s">
        <v>51</v>
      </c>
      <c r="AA19" s="39" t="b">
        <f aca="false">TRUE()</f>
        <v>1</v>
      </c>
      <c r="AB19" s="39" t="b">
        <f aca="false">TRUE()</f>
        <v>1</v>
      </c>
      <c r="AC19" s="32" t="s">
        <v>52</v>
      </c>
      <c r="AH19" s="27" t="str">
        <f aca="false">IF(AK19="จบงานแล้ว","จบงานแล้ว",IF(K19="","In Transit",IF(K19&lt;=J19,"On Time","Delayed")))</f>
        <v>จบงานแล้ว</v>
      </c>
      <c r="AI19" s="26" t="n">
        <f aca="false">IFERROR(IF(AND(ISNUMBER(U19),ISNUMBER(X19)),X19-U19,""),"")</f>
        <v>20</v>
      </c>
      <c r="AJ19" s="26" t="str">
        <f aca="false">IF(AND(J19&lt;&gt;"",K19&lt;&gt;""),MAX(0,K19-J19),"")</f>
        <v/>
      </c>
      <c r="AK19" s="27" t="str">
        <f aca="false">IF(OR(ISNUMBER(SEARCH("เคลียร์สินค้าและจัดส่งสินค้าแล้ว",Z19)),ISNUMBER(SEARCH("เคลียร์สินค้าเรียบร้อย",Z19)),ISNUMBER(SEARCH("เคลียร์สินค้าและจัดส่งแล้ว",Z19)),ISNUMBER(SEARCH("จัดส่งสินค้าแล้ว",Z19))), "จบงานแล้ว", "")</f>
        <v>จบงานแล้ว</v>
      </c>
      <c r="AL19" s="40"/>
      <c r="AM19" s="41"/>
      <c r="AN19" s="42"/>
      <c r="AO19" s="41"/>
    </row>
    <row r="20" customFormat="false" ht="18.75" hidden="false" customHeight="true" outlineLevel="0" collapsed="false">
      <c r="A20" s="16" t="n">
        <f aca="false">ROW()-ROW($A$2)+1</f>
        <v>19</v>
      </c>
      <c r="B20" s="17" t="s">
        <v>117</v>
      </c>
      <c r="C20" s="17" t="s">
        <v>176</v>
      </c>
      <c r="D20" s="17" t="s">
        <v>177</v>
      </c>
      <c r="E20" s="17" t="s">
        <v>130</v>
      </c>
      <c r="F20" s="17" t="s">
        <v>54</v>
      </c>
      <c r="G20" s="17" t="s">
        <v>178</v>
      </c>
      <c r="H20" s="18" t="s">
        <v>43</v>
      </c>
      <c r="I20" s="19" t="n">
        <v>46047</v>
      </c>
      <c r="J20" s="19" t="n">
        <v>46051</v>
      </c>
      <c r="K20" s="16"/>
      <c r="L20" s="17" t="s">
        <v>44</v>
      </c>
      <c r="M20" s="17" t="s">
        <v>43</v>
      </c>
      <c r="N20" s="17" t="s">
        <v>179</v>
      </c>
      <c r="O20" s="20" t="s">
        <v>180</v>
      </c>
      <c r="P20" s="21" t="s">
        <v>181</v>
      </c>
      <c r="Q20" s="17" t="s">
        <v>182</v>
      </c>
      <c r="R20" s="17" t="s">
        <v>183</v>
      </c>
      <c r="S20" s="43" t="n">
        <f aca="false">FALSE()</f>
        <v>0</v>
      </c>
      <c r="T20" s="17" t="s">
        <v>126</v>
      </c>
      <c r="U20" s="23" t="n">
        <v>46043</v>
      </c>
      <c r="V20" s="23" t="n">
        <v>46043</v>
      </c>
      <c r="W20" s="23"/>
      <c r="X20" s="23" t="n">
        <v>46058</v>
      </c>
      <c r="Y20" s="23" t="n">
        <v>46059</v>
      </c>
      <c r="Z20" s="17" t="s">
        <v>51</v>
      </c>
      <c r="AA20" s="22" t="b">
        <f aca="false">TRUE()</f>
        <v>1</v>
      </c>
      <c r="AB20" s="22" t="b">
        <f aca="false">TRUE()</f>
        <v>1</v>
      </c>
      <c r="AC20" s="17" t="s">
        <v>52</v>
      </c>
      <c r="AH20" s="27" t="str">
        <f aca="false">IF(AK20="จบงานแล้ว","จบงานแล้ว",IF(K20="","In Transit",IF(K20&lt;=J20,"On Time","Delayed")))</f>
        <v>จบงานแล้ว</v>
      </c>
      <c r="AI20" s="26" t="n">
        <f aca="false">IFERROR(IF(AND(ISNUMBER(U20),ISNUMBER(X20)),X20-U20,""),"")</f>
        <v>15</v>
      </c>
      <c r="AJ20" s="26" t="str">
        <f aca="false">IF(AND(J20&lt;&gt;"",K20&lt;&gt;""),MAX(0,K20-J20),"")</f>
        <v/>
      </c>
      <c r="AK20" s="27" t="str">
        <f aca="false">IF(OR(ISNUMBER(SEARCH("เคลียร์สินค้าและจัดส่งสินค้าแล้ว",Z20)),ISNUMBER(SEARCH("เคลียร์สินค้าเรียบร้อย",Z20)),ISNUMBER(SEARCH("เคลียร์สินค้าและจัดส่งแล้ว",Z20)),ISNUMBER(SEARCH("จัดส่งสินค้าแล้ว",Z20))), "จบงานแล้ว", "")</f>
        <v>จบงานแล้ว</v>
      </c>
      <c r="AL20" s="28"/>
      <c r="AM20" s="29"/>
      <c r="AN20" s="30"/>
      <c r="AO20" s="29"/>
    </row>
    <row r="21" customFormat="false" ht="18.75" hidden="false" customHeight="true" outlineLevel="0" collapsed="false">
      <c r="A21" s="31" t="n">
        <f aca="false">ROW()-ROW($A$2)+1</f>
        <v>20</v>
      </c>
      <c r="B21" s="32" t="s">
        <v>117</v>
      </c>
      <c r="C21" s="32" t="s">
        <v>184</v>
      </c>
      <c r="D21" s="32" t="s">
        <v>185</v>
      </c>
      <c r="E21" s="32" t="s">
        <v>130</v>
      </c>
      <c r="F21" s="32" t="s">
        <v>41</v>
      </c>
      <c r="G21" s="32" t="s">
        <v>186</v>
      </c>
      <c r="H21" s="33" t="s">
        <v>43</v>
      </c>
      <c r="I21" s="34" t="n">
        <v>46056</v>
      </c>
      <c r="J21" s="34" t="n">
        <v>46064</v>
      </c>
      <c r="K21" s="31"/>
      <c r="L21" s="32" t="s">
        <v>44</v>
      </c>
      <c r="M21" s="32" t="s">
        <v>43</v>
      </c>
      <c r="N21" s="32" t="s">
        <v>187</v>
      </c>
      <c r="O21" s="35" t="s">
        <v>188</v>
      </c>
      <c r="P21" s="36" t="s">
        <v>189</v>
      </c>
      <c r="Q21" s="32" t="s">
        <v>190</v>
      </c>
      <c r="R21" s="32" t="s">
        <v>191</v>
      </c>
      <c r="S21" s="37" t="n">
        <f aca="false">FALSE()</f>
        <v>0</v>
      </c>
      <c r="T21" s="32" t="s">
        <v>126</v>
      </c>
      <c r="U21" s="38" t="n">
        <v>46044</v>
      </c>
      <c r="V21" s="38" t="n">
        <v>46044</v>
      </c>
      <c r="W21" s="38"/>
      <c r="X21" s="38" t="n">
        <v>46070</v>
      </c>
      <c r="Y21" s="38" t="n">
        <v>46071</v>
      </c>
      <c r="Z21" s="32" t="s">
        <v>51</v>
      </c>
      <c r="AA21" s="39" t="b">
        <f aca="false">TRUE()</f>
        <v>1</v>
      </c>
      <c r="AB21" s="39" t="b">
        <f aca="false">TRUE()</f>
        <v>1</v>
      </c>
      <c r="AC21" s="32" t="s">
        <v>52</v>
      </c>
      <c r="AH21" s="27" t="str">
        <f aca="false">IF(AK21="จบงานแล้ว","จบงานแล้ว",IF(K21="","In Transit",IF(K21&lt;=J21,"On Time","Delayed")))</f>
        <v>จบงานแล้ว</v>
      </c>
      <c r="AI21" s="26" t="n">
        <f aca="false">IFERROR(IF(AND(ISNUMBER(U21),ISNUMBER(X21)),X21-U21,""),"")</f>
        <v>26</v>
      </c>
      <c r="AJ21" s="26" t="str">
        <f aca="false">IF(AND(J21&lt;&gt;"",K21&lt;&gt;""),MAX(0,K21-J21),"")</f>
        <v/>
      </c>
      <c r="AK21" s="27" t="str">
        <f aca="false">IF(OR(ISNUMBER(SEARCH("เคลียร์สินค้าและจัดส่งสินค้าแล้ว",Z21)),ISNUMBER(SEARCH("เคลียร์สินค้าเรียบร้อย",Z21)),ISNUMBER(SEARCH("เคลียร์สินค้าและจัดส่งแล้ว",Z21)),ISNUMBER(SEARCH("จัดส่งสินค้าแล้ว",Z21))), "จบงานแล้ว", "")</f>
        <v>จบงานแล้ว</v>
      </c>
      <c r="AL21" s="40"/>
      <c r="AM21" s="41"/>
      <c r="AN21" s="42"/>
      <c r="AO21" s="41"/>
    </row>
    <row r="22" s="2" customFormat="true" ht="18.75" hidden="false" customHeight="true" outlineLevel="0" collapsed="false">
      <c r="A22" s="16" t="n">
        <f aca="false">ROW()-ROW($A$2)+1</f>
        <v>21</v>
      </c>
      <c r="B22" s="17" t="s">
        <v>117</v>
      </c>
      <c r="C22" s="17" t="s">
        <v>192</v>
      </c>
      <c r="D22" s="17" t="s">
        <v>119</v>
      </c>
      <c r="E22" s="17" t="s">
        <v>130</v>
      </c>
      <c r="F22" s="17" t="s">
        <v>54</v>
      </c>
      <c r="G22" s="17" t="s">
        <v>71</v>
      </c>
      <c r="H22" s="18" t="s">
        <v>43</v>
      </c>
      <c r="I22" s="19" t="n">
        <v>46068</v>
      </c>
      <c r="J22" s="19" t="n">
        <v>46077</v>
      </c>
      <c r="K22" s="16"/>
      <c r="L22" s="17" t="s">
        <v>44</v>
      </c>
      <c r="M22" s="17" t="s">
        <v>43</v>
      </c>
      <c r="N22" s="17" t="s">
        <v>193</v>
      </c>
      <c r="O22" s="20" t="s">
        <v>194</v>
      </c>
      <c r="P22" s="21" t="s">
        <v>195</v>
      </c>
      <c r="Q22" s="17" t="s">
        <v>196</v>
      </c>
      <c r="R22" s="17" t="s">
        <v>197</v>
      </c>
      <c r="S22" s="43" t="n">
        <f aca="false">FALSE()</f>
        <v>0</v>
      </c>
      <c r="T22" s="17" t="s">
        <v>126</v>
      </c>
      <c r="U22" s="23" t="n">
        <v>46062</v>
      </c>
      <c r="V22" s="23" t="n">
        <v>46062</v>
      </c>
      <c r="W22" s="23"/>
      <c r="X22" s="23"/>
      <c r="Y22" s="23"/>
      <c r="Z22" s="17" t="s">
        <v>198</v>
      </c>
      <c r="AA22" s="22" t="b">
        <f aca="false">TRUE()</f>
        <v>1</v>
      </c>
      <c r="AB22" s="22" t="b">
        <f aca="false">TRUE()</f>
        <v>1</v>
      </c>
      <c r="AC22" s="17" t="s">
        <v>52</v>
      </c>
      <c r="AH22" s="27" t="str">
        <f aca="false">IF(AK22="จบงานแล้ว","จบงานแล้ว",IF(K22="","In Transit",IF(K22&lt;=J22,"On Time","Delayed")))</f>
        <v>In Transit</v>
      </c>
      <c r="AI22" s="26" t="str">
        <f aca="false">IFERROR(IF(AND(ISNUMBER(U22),ISNUMBER(X22)),X22-U22,""),"")</f>
        <v/>
      </c>
      <c r="AJ22" s="26" t="str">
        <f aca="false">IF(AND(J22&lt;&gt;"",K22&lt;&gt;""),MAX(0,K22-J22),"")</f>
        <v/>
      </c>
      <c r="AK22" s="27" t="str">
        <f aca="false">IF(OR(ISNUMBER(SEARCH("เคลียร์สินค้าและจัดส่งสินค้าแล้ว",Z22)),ISNUMBER(SEARCH("เคลียร์สินค้าเรียบร้อย",Z22)),ISNUMBER(SEARCH("เคลียร์สินค้าและจัดส่งแล้ว",Z22)),ISNUMBER(SEARCH("จัดส่งสินค้าแล้ว",Z22))), "จบงานแล้ว", "")</f>
        <v/>
      </c>
      <c r="AL22" s="28"/>
      <c r="AM22" s="29"/>
      <c r="AN22" s="30"/>
      <c r="AO22" s="29"/>
    </row>
    <row r="23" customFormat="false" ht="18.75" hidden="false" customHeight="true" outlineLevel="0" collapsed="false">
      <c r="A23" s="31" t="n">
        <f aca="false">ROW()-ROW($A$2)+1</f>
        <v>22</v>
      </c>
      <c r="B23" s="32" t="s">
        <v>117</v>
      </c>
      <c r="C23" s="32" t="s">
        <v>199</v>
      </c>
      <c r="D23" s="32" t="s">
        <v>196</v>
      </c>
      <c r="E23" s="32" t="s">
        <v>130</v>
      </c>
      <c r="F23" s="32" t="s">
        <v>41</v>
      </c>
      <c r="G23" s="32" t="s">
        <v>200</v>
      </c>
      <c r="H23" s="33" t="s">
        <v>43</v>
      </c>
      <c r="I23" s="34" t="s">
        <v>196</v>
      </c>
      <c r="J23" s="34" t="s">
        <v>196</v>
      </c>
      <c r="K23" s="31"/>
      <c r="L23" s="32" t="s">
        <v>44</v>
      </c>
      <c r="M23" s="32" t="s">
        <v>43</v>
      </c>
      <c r="N23" s="32" t="s">
        <v>201</v>
      </c>
      <c r="O23" s="35" t="s">
        <v>202</v>
      </c>
      <c r="P23" s="36" t="s">
        <v>196</v>
      </c>
      <c r="Q23" s="32" t="s">
        <v>203</v>
      </c>
      <c r="R23" s="32" t="s">
        <v>204</v>
      </c>
      <c r="S23" s="37" t="n">
        <f aca="false">FALSE()</f>
        <v>0</v>
      </c>
      <c r="T23" s="32" t="s">
        <v>126</v>
      </c>
      <c r="U23" s="38" t="n">
        <v>46073</v>
      </c>
      <c r="V23" s="38" t="n">
        <v>46093</v>
      </c>
      <c r="W23" s="38"/>
      <c r="X23" s="38"/>
      <c r="Y23" s="38"/>
      <c r="Z23" s="32" t="s">
        <v>205</v>
      </c>
      <c r="AA23" s="39" t="b">
        <f aca="false">TRUE()</f>
        <v>1</v>
      </c>
      <c r="AB23" s="39" t="b">
        <f aca="false">TRUE()</f>
        <v>1</v>
      </c>
      <c r="AC23" s="32" t="s">
        <v>68</v>
      </c>
      <c r="AH23" s="27" t="str">
        <f aca="false">IF(AK23="จบงานแล้ว","จบงานแล้ว",IF(K23="","In Transit",IF(K23&lt;=J23,"On Time","Delayed")))</f>
        <v>In Transit</v>
      </c>
      <c r="AI23" s="26" t="str">
        <f aca="false">IFERROR(IF(AND(ISNUMBER(U23),ISNUMBER(X23)),X23-U23,""),"")</f>
        <v/>
      </c>
      <c r="AJ23" s="26" t="str">
        <f aca="false">IF(AND(J23&lt;&gt;"",K23&lt;&gt;""),MAX(0,K23-J23),"")</f>
        <v/>
      </c>
      <c r="AK23" s="27" t="str">
        <f aca="false">IF(OR(ISNUMBER(SEARCH("เคลียร์สินค้าและจัดส่งสินค้าแล้ว",Z23)),ISNUMBER(SEARCH("เคลียร์สินค้าเรียบร้อย",Z23)),ISNUMBER(SEARCH("เคลียร์สินค้าและจัดส่งแล้ว",Z23)),ISNUMBER(SEARCH("จัดส่งสินค้าแล้ว",Z23))), "จบงานแล้ว", "")</f>
        <v/>
      </c>
      <c r="AL23" s="40"/>
      <c r="AM23" s="41"/>
      <c r="AN23" s="42"/>
      <c r="AO23" s="41"/>
    </row>
    <row r="24" s="2" customFormat="true" ht="18.75" hidden="false" customHeight="true" outlineLevel="0" collapsed="false">
      <c r="A24" s="16" t="n">
        <f aca="false">ROW()-ROW($A$2)+1</f>
        <v>23</v>
      </c>
      <c r="B24" s="17" t="s">
        <v>117</v>
      </c>
      <c r="C24" s="17" t="s">
        <v>206</v>
      </c>
      <c r="D24" s="17" t="s">
        <v>39</v>
      </c>
      <c r="E24" s="17" t="s">
        <v>40</v>
      </c>
      <c r="F24" s="17" t="s">
        <v>207</v>
      </c>
      <c r="G24" s="17" t="s">
        <v>71</v>
      </c>
      <c r="H24" s="18" t="s">
        <v>43</v>
      </c>
      <c r="I24" s="19" t="n">
        <v>46052</v>
      </c>
      <c r="J24" s="19" t="n">
        <v>46060</v>
      </c>
      <c r="K24" s="16"/>
      <c r="L24" s="17" t="s">
        <v>44</v>
      </c>
      <c r="M24" s="17" t="s">
        <v>43</v>
      </c>
      <c r="N24" s="17" t="s">
        <v>208</v>
      </c>
      <c r="O24" s="20" t="s">
        <v>209</v>
      </c>
      <c r="P24" s="21" t="s">
        <v>210</v>
      </c>
      <c r="Q24" s="17" t="s">
        <v>211</v>
      </c>
      <c r="R24" s="17" t="s">
        <v>212</v>
      </c>
      <c r="S24" s="43" t="n">
        <f aca="false">FALSE()</f>
        <v>0</v>
      </c>
      <c r="T24" s="17" t="s">
        <v>126</v>
      </c>
      <c r="U24" s="23" t="n">
        <v>46050</v>
      </c>
      <c r="V24" s="23" t="n">
        <v>46050</v>
      </c>
      <c r="W24" s="23" t="s">
        <v>43</v>
      </c>
      <c r="X24" s="23" t="n">
        <v>46066</v>
      </c>
      <c r="Y24" s="23" t="n">
        <v>46067</v>
      </c>
      <c r="Z24" s="17" t="s">
        <v>51</v>
      </c>
      <c r="AA24" s="22" t="b">
        <f aca="false">TRUE()</f>
        <v>1</v>
      </c>
      <c r="AB24" s="22" t="b">
        <f aca="false">TRUE()</f>
        <v>1</v>
      </c>
      <c r="AC24" s="17" t="s">
        <v>213</v>
      </c>
      <c r="AH24" s="27" t="str">
        <f aca="false">IF(AK24="จบงานแล้ว","จบงานแล้ว",IF(K24="","In Transit",IF(K24&lt;=J24,"On Time","Delayed")))</f>
        <v>จบงานแล้ว</v>
      </c>
      <c r="AI24" s="26" t="n">
        <f aca="false">IFERROR(IF(AND(ISNUMBER(U24),ISNUMBER(X24)),X24-U24,""),"")</f>
        <v>16</v>
      </c>
      <c r="AJ24" s="26" t="str">
        <f aca="false">IF(AND(J24&lt;&gt;"",K24&lt;&gt;""),MAX(0,K24-J24),"")</f>
        <v/>
      </c>
      <c r="AK24" s="27" t="str">
        <f aca="false">IF(OR(ISNUMBER(SEARCH("เคลียร์สินค้าและจัดส่งสินค้าแล้ว",Z24)),ISNUMBER(SEARCH("เคลียร์สินค้าเรียบร้อย",Z24)),ISNUMBER(SEARCH("เคลียร์สินค้าและจัดส่งแล้ว",Z24)),ISNUMBER(SEARCH("จัดส่งสินค้าแล้ว",Z24))), "จบงานแล้ว", "")</f>
        <v>จบงานแล้ว</v>
      </c>
      <c r="AL24" s="28"/>
      <c r="AM24" s="29"/>
      <c r="AN24" s="30"/>
      <c r="AO24" s="29"/>
    </row>
    <row r="25" s="2" customFormat="true" ht="18.75" hidden="false" customHeight="true" outlineLevel="0" collapsed="false">
      <c r="A25" s="31"/>
      <c r="B25" s="32"/>
      <c r="C25" s="32"/>
      <c r="D25" s="32"/>
      <c r="E25" s="32"/>
      <c r="F25" s="32"/>
      <c r="G25" s="32"/>
      <c r="H25" s="33"/>
      <c r="I25" s="34"/>
      <c r="J25" s="34"/>
      <c r="K25" s="31"/>
      <c r="L25" s="32"/>
      <c r="M25" s="32"/>
      <c r="N25" s="32"/>
      <c r="O25" s="35"/>
      <c r="P25" s="36"/>
      <c r="Q25" s="32"/>
      <c r="R25" s="32"/>
      <c r="S25" s="37" t="n">
        <f aca="false">FALSE()</f>
        <v>0</v>
      </c>
      <c r="T25" s="32"/>
      <c r="U25" s="38"/>
      <c r="V25" s="38"/>
      <c r="W25" s="38"/>
      <c r="X25" s="38"/>
      <c r="Y25" s="38"/>
      <c r="Z25" s="32"/>
      <c r="AA25" s="39" t="b">
        <f aca="false">FALSE()</f>
        <v>0</v>
      </c>
      <c r="AB25" s="39" t="b">
        <f aca="false">FALSE()</f>
        <v>0</v>
      </c>
      <c r="AC25" s="32"/>
      <c r="AH25" s="27" t="str">
        <f aca="false">IF(AK25="จบงานแล้ว","จบงานแล้ว",IF(K25="","In Transit",IF(K25&lt;=J25,"On Time","Delayed")))</f>
        <v>In Transit</v>
      </c>
      <c r="AI25" s="26" t="str">
        <f aca="false">IFERROR(IF(AND(ISNUMBER(U25),ISNUMBER(X25)),X25-U25,""),"")</f>
        <v/>
      </c>
      <c r="AJ25" s="26" t="str">
        <f aca="false">IF(AND(J25&lt;&gt;"",K25&lt;&gt;""),MAX(0,K25-J25),"")</f>
        <v/>
      </c>
      <c r="AK25" s="27" t="str">
        <f aca="false">IF(OR(ISNUMBER(SEARCH("เคลียร์สินค้าและจัดส่งสินค้าแล้ว",Z25)),ISNUMBER(SEARCH("เคลียร์สินค้าเรียบร้อย",Z25)),ISNUMBER(SEARCH("เคลียร์สินค้าและจัดส่งแล้ว",Z25)),ISNUMBER(SEARCH("จัดส่งสินค้าแล้ว",Z25))), "จบงานแล้ว", "")</f>
        <v/>
      </c>
      <c r="AL25" s="40"/>
      <c r="AM25" s="41"/>
      <c r="AN25" s="42"/>
      <c r="AO25" s="41"/>
    </row>
    <row r="26" s="2" customFormat="true" ht="18.75" hidden="false" customHeight="true" outlineLevel="0" collapsed="false">
      <c r="A26" s="16" t="n">
        <f aca="false">ROW()-ROW($A$2)+1</f>
        <v>25</v>
      </c>
      <c r="B26" s="17" t="s">
        <v>214</v>
      </c>
      <c r="C26" s="17" t="s">
        <v>215</v>
      </c>
      <c r="D26" s="17" t="s">
        <v>108</v>
      </c>
      <c r="E26" s="17" t="s">
        <v>130</v>
      </c>
      <c r="F26" s="17" t="s">
        <v>54</v>
      </c>
      <c r="G26" s="17" t="s">
        <v>120</v>
      </c>
      <c r="H26" s="18" t="s">
        <v>43</v>
      </c>
      <c r="I26" s="19" t="n">
        <v>46067</v>
      </c>
      <c r="J26" s="19" t="n">
        <v>46080</v>
      </c>
      <c r="K26" s="16"/>
      <c r="L26" s="17" t="s">
        <v>98</v>
      </c>
      <c r="M26" s="17"/>
      <c r="N26" s="17" t="s">
        <v>216</v>
      </c>
      <c r="O26" s="20" t="s">
        <v>217</v>
      </c>
      <c r="P26" s="21" t="s">
        <v>218</v>
      </c>
      <c r="Q26" s="17" t="s">
        <v>219</v>
      </c>
      <c r="R26" s="17" t="s">
        <v>220</v>
      </c>
      <c r="S26" s="43" t="n">
        <f aca="false">TRUE()</f>
        <v>1</v>
      </c>
      <c r="T26" s="17" t="s">
        <v>77</v>
      </c>
      <c r="U26" s="23" t="n">
        <v>46069</v>
      </c>
      <c r="V26" s="23" t="n">
        <v>46069</v>
      </c>
      <c r="W26" s="23"/>
      <c r="X26" s="23"/>
      <c r="Y26" s="23"/>
      <c r="Z26" s="17" t="s">
        <v>221</v>
      </c>
      <c r="AA26" s="22" t="b">
        <f aca="false">TRUE()</f>
        <v>1</v>
      </c>
      <c r="AB26" s="22" t="b">
        <f aca="false">TRUE()</f>
        <v>1</v>
      </c>
      <c r="AC26" s="17" t="s">
        <v>79</v>
      </c>
      <c r="AH26" s="27" t="str">
        <f aca="false">IF(AK26="จบงานแล้ว","จบงานแล้ว",IF(K26="","In Transit",IF(K26&lt;=J26,"On Time","Delayed")))</f>
        <v>In Transit</v>
      </c>
      <c r="AI26" s="26" t="str">
        <f aca="false">IFERROR(IF(AND(ISNUMBER(U26),ISNUMBER(X26)),X26-U26,""),"")</f>
        <v/>
      </c>
      <c r="AJ26" s="26" t="str">
        <f aca="false">IF(AND(J26&lt;&gt;"",K26&lt;&gt;""),MAX(0,K26-J26),"")</f>
        <v/>
      </c>
      <c r="AK26" s="27" t="str">
        <f aca="false">IF(OR(ISNUMBER(SEARCH("เคลียร์สินค้าและจัดส่งสินค้าแล้ว",Z26)),ISNUMBER(SEARCH("เคลียร์สินค้าเรียบร้อย",Z26)),ISNUMBER(SEARCH("เคลียร์สินค้าและจัดส่งแล้ว",Z26)),ISNUMBER(SEARCH("จัดส่งสินค้าแล้ว",Z26))), "จบงานแล้ว", "")</f>
        <v/>
      </c>
      <c r="AL26" s="28"/>
      <c r="AM26" s="29"/>
      <c r="AN26" s="30"/>
      <c r="AO26" s="29"/>
    </row>
    <row r="27" s="2" customFormat="true" ht="18.75" hidden="false" customHeight="true" outlineLevel="0" collapsed="false">
      <c r="A27" s="31" t="n">
        <v>25</v>
      </c>
      <c r="B27" s="32" t="s">
        <v>222</v>
      </c>
      <c r="C27" s="32" t="s">
        <v>223</v>
      </c>
      <c r="D27" s="32" t="s">
        <v>224</v>
      </c>
      <c r="E27" s="32" t="s">
        <v>40</v>
      </c>
      <c r="F27" s="32" t="s">
        <v>41</v>
      </c>
      <c r="G27" s="32" t="s">
        <v>120</v>
      </c>
      <c r="H27" s="33" t="s">
        <v>43</v>
      </c>
      <c r="I27" s="34" t="n">
        <v>46069</v>
      </c>
      <c r="J27" s="34"/>
      <c r="K27" s="31"/>
      <c r="L27" s="32" t="s">
        <v>44</v>
      </c>
      <c r="M27" s="32" t="s">
        <v>43</v>
      </c>
      <c r="N27" s="32" t="s">
        <v>157</v>
      </c>
      <c r="O27" s="35" t="s">
        <v>225</v>
      </c>
      <c r="P27" s="36" t="s">
        <v>226</v>
      </c>
      <c r="Q27" s="32" t="s">
        <v>227</v>
      </c>
      <c r="R27" s="32" t="s">
        <v>228</v>
      </c>
      <c r="S27" s="37" t="n">
        <f aca="false">FALSE()</f>
        <v>0</v>
      </c>
      <c r="T27" s="32" t="s">
        <v>50</v>
      </c>
      <c r="U27" s="38" t="n">
        <v>46069</v>
      </c>
      <c r="V27" s="38" t="n">
        <v>46069</v>
      </c>
      <c r="W27" s="38"/>
      <c r="X27" s="38"/>
      <c r="Y27" s="38"/>
      <c r="Z27" s="32" t="s">
        <v>229</v>
      </c>
      <c r="AA27" s="39" t="b">
        <f aca="false">TRUE()</f>
        <v>1</v>
      </c>
      <c r="AB27" s="39" t="b">
        <f aca="false">TRUE()</f>
        <v>1</v>
      </c>
      <c r="AC27" s="32" t="s">
        <v>230</v>
      </c>
      <c r="AH27" s="27" t="str">
        <f aca="false">IF(AK27="จบงานแล้ว","จบงานแล้ว",IF(K27="","In Transit",IF(K27&lt;=J27,"On Time","Delayed")))</f>
        <v>In Transit</v>
      </c>
      <c r="AI27" s="26" t="str">
        <f aca="false">IFERROR(IF(AND(ISNUMBER(U27),ISNUMBER(X27)),X27-U27,""),"")</f>
        <v/>
      </c>
      <c r="AJ27" s="26" t="str">
        <f aca="false">IF(AND(J27&lt;&gt;"",K27&lt;&gt;""),MAX(0,K27-J27),"")</f>
        <v/>
      </c>
      <c r="AK27" s="27" t="str">
        <f aca="false">IF(OR(ISNUMBER(SEARCH("เคลียร์สินค้าและจัดส่งสินค้าแล้ว",Z27)),ISNUMBER(SEARCH("เคลียร์สินค้าเรียบร้อย",Z27)),ISNUMBER(SEARCH("เคลียร์สินค้าและจัดส่งแล้ว",Z27)),ISNUMBER(SEARCH("จัดส่งสินค้าแล้ว",Z27))), "จบงานแล้ว", "")</f>
        <v/>
      </c>
      <c r="AL27" s="40"/>
      <c r="AM27" s="41"/>
      <c r="AN27" s="42"/>
      <c r="AO27" s="41"/>
    </row>
    <row r="28" s="2" customFormat="true" ht="18.75" hidden="false" customHeight="true" outlineLevel="0" collapsed="false">
      <c r="A28" s="16" t="n">
        <v>26</v>
      </c>
      <c r="B28" s="17" t="s">
        <v>231</v>
      </c>
      <c r="C28" s="17" t="s">
        <v>232</v>
      </c>
      <c r="D28" s="17" t="s">
        <v>185</v>
      </c>
      <c r="E28" s="17" t="s">
        <v>130</v>
      </c>
      <c r="F28" s="17" t="s">
        <v>54</v>
      </c>
      <c r="G28" s="17" t="s">
        <v>120</v>
      </c>
      <c r="H28" s="18" t="s">
        <v>43</v>
      </c>
      <c r="I28" s="19" t="n">
        <v>46074</v>
      </c>
      <c r="J28" s="19" t="n">
        <v>46082</v>
      </c>
      <c r="K28" s="16"/>
      <c r="L28" s="17" t="s">
        <v>98</v>
      </c>
      <c r="M28" s="17" t="s">
        <v>233</v>
      </c>
      <c r="N28" s="17" t="s">
        <v>234</v>
      </c>
      <c r="O28" s="20" t="n">
        <v>19620</v>
      </c>
      <c r="P28" s="21" t="s">
        <v>235</v>
      </c>
      <c r="Q28" s="17" t="s">
        <v>236</v>
      </c>
      <c r="R28" s="17" t="s">
        <v>237</v>
      </c>
      <c r="S28" s="43" t="n">
        <f aca="false">FALSE()</f>
        <v>0</v>
      </c>
      <c r="T28" s="17" t="s">
        <v>77</v>
      </c>
      <c r="U28" s="23" t="n">
        <v>46069</v>
      </c>
      <c r="V28" s="23" t="n">
        <v>46069</v>
      </c>
      <c r="W28" s="23"/>
      <c r="X28" s="23"/>
      <c r="Y28" s="23"/>
      <c r="Z28" s="17" t="s">
        <v>238</v>
      </c>
      <c r="AA28" s="22" t="b">
        <f aca="false">TRUE()</f>
        <v>1</v>
      </c>
      <c r="AB28" s="22" t="b">
        <f aca="false">TRUE()</f>
        <v>1</v>
      </c>
      <c r="AC28" s="17" t="s">
        <v>79</v>
      </c>
      <c r="AH28" s="27" t="str">
        <f aca="false">IF(AK28="จบงานแล้ว","จบงานแล้ว",IF(K28="","In Transit",IF(K28&lt;=J28,"On Time","Delayed")))</f>
        <v>In Transit</v>
      </c>
      <c r="AI28" s="26" t="str">
        <f aca="false">IFERROR(IF(AND(ISNUMBER(U28),ISNUMBER(X28)),X28-U28,""),"")</f>
        <v/>
      </c>
      <c r="AJ28" s="26" t="str">
        <f aca="false">IF(AND(J28&lt;&gt;"",K28&lt;&gt;""),MAX(0,K28-J28),"")</f>
        <v/>
      </c>
      <c r="AK28" s="27" t="str">
        <f aca="false">IF(OR(ISNUMBER(SEARCH("เคลียร์สินค้าและจัดส่งสินค้าแล้ว",Z28)),ISNUMBER(SEARCH("เคลียร์สินค้าเรียบร้อย",Z28)),ISNUMBER(SEARCH("เคลียร์สินค้าและจัดส่งแล้ว",Z28)),ISNUMBER(SEARCH("จัดส่งสินค้าแล้ว",Z28))), "จบงานแล้ว", "")</f>
        <v/>
      </c>
      <c r="AL28" s="28"/>
      <c r="AM28" s="29"/>
      <c r="AN28" s="30"/>
      <c r="AO28" s="29"/>
    </row>
    <row r="29" customFormat="false" ht="18.75" hidden="false" customHeight="true" outlineLevel="0" collapsed="false">
      <c r="A29" s="31" t="n">
        <f aca="false">ROW()-ROW($A$2)+1</f>
        <v>28</v>
      </c>
      <c r="B29" s="32" t="s">
        <v>239</v>
      </c>
      <c r="C29" s="32" t="s">
        <v>240</v>
      </c>
      <c r="D29" s="32" t="s">
        <v>241</v>
      </c>
      <c r="E29" s="32" t="s">
        <v>40</v>
      </c>
      <c r="F29" s="32" t="s">
        <v>242</v>
      </c>
      <c r="G29" s="32" t="s">
        <v>243</v>
      </c>
      <c r="H29" s="33" t="s">
        <v>43</v>
      </c>
      <c r="I29" s="34" t="n">
        <v>46062</v>
      </c>
      <c r="J29" s="34" t="n">
        <v>46074</v>
      </c>
      <c r="K29" s="31"/>
      <c r="L29" s="32" t="s">
        <v>244</v>
      </c>
      <c r="M29" s="32" t="s">
        <v>99</v>
      </c>
      <c r="N29" s="32" t="s">
        <v>245</v>
      </c>
      <c r="O29" s="35" t="s">
        <v>246</v>
      </c>
      <c r="P29" s="36" t="s">
        <v>247</v>
      </c>
      <c r="Q29" s="32" t="s">
        <v>248</v>
      </c>
      <c r="R29" s="32" t="s">
        <v>249</v>
      </c>
      <c r="S29" s="37" t="n">
        <f aca="false">FALSE()</f>
        <v>0</v>
      </c>
      <c r="T29" s="32" t="s">
        <v>77</v>
      </c>
      <c r="U29" s="38" t="n">
        <v>46065</v>
      </c>
      <c r="V29" s="38" t="n">
        <v>46065</v>
      </c>
      <c r="W29" s="38"/>
      <c r="X29" s="38"/>
      <c r="Y29" s="38"/>
      <c r="Z29" s="32" t="s">
        <v>105</v>
      </c>
      <c r="AA29" s="39" t="b">
        <f aca="false">TRUE()</f>
        <v>1</v>
      </c>
      <c r="AB29" s="39" t="b">
        <f aca="false">TRUE()</f>
        <v>1</v>
      </c>
      <c r="AC29" s="32" t="s">
        <v>250</v>
      </c>
      <c r="AH29" s="27" t="str">
        <f aca="false">IF(AK29="จบงานแล้ว","จบงานแล้ว",IF(K29="","In Transit",IF(K29&lt;=J29,"On Time","Delayed")))</f>
        <v>In Transit</v>
      </c>
      <c r="AI29" s="26" t="str">
        <f aca="false">IFERROR(IF(AND(ISNUMBER(U29),ISNUMBER(X29)),X29-U29,""),"")</f>
        <v/>
      </c>
      <c r="AJ29" s="26" t="str">
        <f aca="false">IF(AND(J29&lt;&gt;"",K29&lt;&gt;""),MAX(0,K29-J29),"")</f>
        <v/>
      </c>
      <c r="AK29" s="27" t="str">
        <f aca="false">IF(OR(ISNUMBER(SEARCH("เคลียร์สินค้าและจัดส่งสินค้าแล้ว",Z29)),ISNUMBER(SEARCH("เคลียร์สินค้าเรียบร้อย",Z29)),ISNUMBER(SEARCH("เคลียร์สินค้าและจัดส่งแล้ว",Z29)),ISNUMBER(SEARCH("จัดส่งสินค้าแล้ว",Z29))), "จบงานแล้ว", "")</f>
        <v/>
      </c>
      <c r="AL29" s="40"/>
      <c r="AM29" s="41"/>
      <c r="AN29" s="42"/>
      <c r="AO29" s="41"/>
    </row>
    <row r="30" customFormat="false" ht="18.75" hidden="false" customHeight="true" outlineLevel="0" collapsed="false">
      <c r="A30" s="16" t="n">
        <f aca="false">ROW()-ROW($A$2)+1</f>
        <v>29</v>
      </c>
      <c r="B30" s="17" t="s">
        <v>251</v>
      </c>
      <c r="C30" s="17" t="s">
        <v>252</v>
      </c>
      <c r="D30" s="17" t="s">
        <v>241</v>
      </c>
      <c r="E30" s="17" t="s">
        <v>130</v>
      </c>
      <c r="F30" s="17" t="s">
        <v>242</v>
      </c>
      <c r="G30" s="17" t="s">
        <v>243</v>
      </c>
      <c r="H30" s="18" t="s">
        <v>43</v>
      </c>
      <c r="I30" s="19" t="n">
        <v>46064</v>
      </c>
      <c r="J30" s="19" t="n">
        <v>46069</v>
      </c>
      <c r="K30" s="16"/>
      <c r="L30" s="17" t="s">
        <v>44</v>
      </c>
      <c r="M30" s="17" t="s">
        <v>43</v>
      </c>
      <c r="N30" s="17" t="s">
        <v>253</v>
      </c>
      <c r="O30" s="20" t="s">
        <v>254</v>
      </c>
      <c r="P30" s="21" t="s">
        <v>255</v>
      </c>
      <c r="Q30" s="17" t="s">
        <v>256</v>
      </c>
      <c r="R30" s="17" t="s">
        <v>257</v>
      </c>
      <c r="S30" s="43" t="n">
        <f aca="false">FALSE()</f>
        <v>0</v>
      </c>
      <c r="T30" s="17" t="s">
        <v>77</v>
      </c>
      <c r="U30" s="23" t="n">
        <v>46065</v>
      </c>
      <c r="V30" s="23" t="n">
        <v>46065</v>
      </c>
      <c r="W30" s="23"/>
      <c r="X30" s="23"/>
      <c r="Y30" s="23"/>
      <c r="Z30" s="17" t="s">
        <v>221</v>
      </c>
      <c r="AA30" s="22" t="b">
        <f aca="false">TRUE()</f>
        <v>1</v>
      </c>
      <c r="AB30" s="22" t="b">
        <f aca="false">TRUE()</f>
        <v>1</v>
      </c>
      <c r="AC30" s="17" t="s">
        <v>230</v>
      </c>
      <c r="AH30" s="27" t="str">
        <f aca="false">IF(AK30="จบงานแล้ว","จบงานแล้ว",IF(K30="","In Transit",IF(K30&lt;=J30,"On Time","Delayed")))</f>
        <v>In Transit</v>
      </c>
      <c r="AI30" s="26" t="str">
        <f aca="false">IFERROR(IF(AND(ISNUMBER(U30),ISNUMBER(X30)),X30-U30,""),"")</f>
        <v/>
      </c>
      <c r="AJ30" s="26" t="str">
        <f aca="false">IF(AND(J30&lt;&gt;"",K30&lt;&gt;""),MAX(0,K30-J30),"")</f>
        <v/>
      </c>
      <c r="AK30" s="27" t="str">
        <f aca="false">IF(OR(ISNUMBER(SEARCH("เคลียร์สินค้าและจัดส่งสินค้าแล้ว",Z30)),ISNUMBER(SEARCH("เคลียร์สินค้าเรียบร้อย",Z30)),ISNUMBER(SEARCH("เคลียร์สินค้าและจัดส่งแล้ว",Z30)),ISNUMBER(SEARCH("จัดส่งสินค้าแล้ว",Z30))), "จบงานแล้ว", "")</f>
        <v/>
      </c>
      <c r="AL30" s="28"/>
      <c r="AM30" s="29"/>
      <c r="AN30" s="30"/>
      <c r="AO30" s="29"/>
    </row>
    <row r="31" s="2" customFormat="true" ht="18.75" hidden="false" customHeight="true" outlineLevel="0" collapsed="false">
      <c r="A31" s="31" t="n">
        <f aca="false">ROW()-ROW($A$2)+1</f>
        <v>30</v>
      </c>
      <c r="B31" s="32" t="s">
        <v>258</v>
      </c>
      <c r="C31" s="32" t="s">
        <v>259</v>
      </c>
      <c r="D31" s="32" t="s">
        <v>260</v>
      </c>
      <c r="E31" s="32" t="s">
        <v>40</v>
      </c>
      <c r="F31" s="32" t="s">
        <v>54</v>
      </c>
      <c r="G31" s="32" t="s">
        <v>261</v>
      </c>
      <c r="H31" s="33" t="s">
        <v>43</v>
      </c>
      <c r="I31" s="34" t="n">
        <v>46067</v>
      </c>
      <c r="J31" s="34" t="n">
        <v>46071</v>
      </c>
      <c r="K31" s="31"/>
      <c r="L31" s="32" t="s">
        <v>44</v>
      </c>
      <c r="M31" s="32" t="s">
        <v>43</v>
      </c>
      <c r="N31" s="32" t="s">
        <v>262</v>
      </c>
      <c r="O31" s="35" t="s">
        <v>263</v>
      </c>
      <c r="P31" s="36" t="s">
        <v>264</v>
      </c>
      <c r="Q31" s="32" t="s">
        <v>265</v>
      </c>
      <c r="R31" s="32" t="s">
        <v>266</v>
      </c>
      <c r="S31" s="37" t="n">
        <f aca="false">FALSE()</f>
        <v>0</v>
      </c>
      <c r="T31" s="32" t="s">
        <v>267</v>
      </c>
      <c r="U31" s="38"/>
      <c r="V31" s="38"/>
      <c r="W31" s="38"/>
      <c r="X31" s="38"/>
      <c r="Y31" s="38"/>
      <c r="Z31" s="32" t="s">
        <v>268</v>
      </c>
      <c r="AA31" s="39" t="b">
        <f aca="false">TRUE()</f>
        <v>1</v>
      </c>
      <c r="AB31" s="39" t="b">
        <f aca="false">TRUE()</f>
        <v>1</v>
      </c>
      <c r="AC31" s="32" t="s">
        <v>269</v>
      </c>
      <c r="AH31" s="27" t="str">
        <f aca="false">IF(AK31="จบงานแล้ว","จบงานแล้ว",IF(K31="","In Transit",IF(K31&lt;=J31,"On Time","Delayed")))</f>
        <v>In Transit</v>
      </c>
      <c r="AI31" s="26" t="str">
        <f aca="false">IFERROR(IF(AND(ISNUMBER(U31),ISNUMBER(X31)),X31-U31,""),"")</f>
        <v/>
      </c>
      <c r="AJ31" s="26" t="str">
        <f aca="false">IF(AND(J31&lt;&gt;"",K31&lt;&gt;""),MAX(0,K31-J31),"")</f>
        <v/>
      </c>
      <c r="AK31" s="27" t="str">
        <f aca="false">IF(OR(ISNUMBER(SEARCH("เคลียร์สินค้าและจัดส่งสินค้าแล้ว",Z31)),ISNUMBER(SEARCH("เคลียร์สินค้าเรียบร้อย",Z31)),ISNUMBER(SEARCH("เคลียร์สินค้าและจัดส่งแล้ว",Z31)),ISNUMBER(SEARCH("จัดส่งสินค้าแล้ว",Z31))), "จบงานแล้ว", "")</f>
        <v/>
      </c>
      <c r="AL31" s="40"/>
      <c r="AM31" s="41"/>
      <c r="AN31" s="42"/>
      <c r="AO31" s="41"/>
    </row>
    <row r="32" s="2" customFormat="true" ht="18.75" hidden="false" customHeight="true" outlineLevel="0" collapsed="false">
      <c r="A32" s="16" t="n">
        <f aca="false">ROW()-ROW($A$2)+1</f>
        <v>31</v>
      </c>
      <c r="B32" s="17" t="s">
        <v>270</v>
      </c>
      <c r="C32" s="17" t="s">
        <v>271</v>
      </c>
      <c r="D32" s="17" t="s">
        <v>39</v>
      </c>
      <c r="E32" s="17" t="s">
        <v>40</v>
      </c>
      <c r="F32" s="17" t="s">
        <v>41</v>
      </c>
      <c r="G32" s="17" t="s">
        <v>71</v>
      </c>
      <c r="H32" s="18" t="s">
        <v>43</v>
      </c>
      <c r="I32" s="19" t="n">
        <v>46070</v>
      </c>
      <c r="J32" s="19" t="s">
        <v>196</v>
      </c>
      <c r="K32" s="16"/>
      <c r="L32" s="17" t="s">
        <v>44</v>
      </c>
      <c r="M32" s="17" t="s">
        <v>43</v>
      </c>
      <c r="N32" s="17" t="s">
        <v>272</v>
      </c>
      <c r="O32" s="20" t="s">
        <v>273</v>
      </c>
      <c r="P32" s="21" t="s">
        <v>274</v>
      </c>
      <c r="Q32" s="17" t="s">
        <v>275</v>
      </c>
      <c r="R32" s="17" t="s">
        <v>276</v>
      </c>
      <c r="S32" s="43" t="n">
        <f aca="false">TRUE()</f>
        <v>1</v>
      </c>
      <c r="T32" s="17" t="s">
        <v>277</v>
      </c>
      <c r="U32" s="23" t="n">
        <v>46066</v>
      </c>
      <c r="V32" s="23" t="n">
        <v>46066</v>
      </c>
      <c r="W32" s="23"/>
      <c r="X32" s="23"/>
      <c r="Y32" s="23"/>
      <c r="Z32" s="17" t="s">
        <v>278</v>
      </c>
      <c r="AA32" s="22" t="b">
        <f aca="false">TRUE()</f>
        <v>1</v>
      </c>
      <c r="AB32" s="22" t="b">
        <f aca="false">TRUE()</f>
        <v>1</v>
      </c>
      <c r="AC32" s="17" t="s">
        <v>79</v>
      </c>
      <c r="AH32" s="27" t="str">
        <f aca="false">IF(AK32="จบงานแล้ว","จบงานแล้ว",IF(K32="","In Transit",IF(K32&lt;=J32,"On Time","Delayed")))</f>
        <v>In Transit</v>
      </c>
      <c r="AI32" s="26" t="str">
        <f aca="false">IFERROR(IF(AND(ISNUMBER(U32),ISNUMBER(X32)),X32-U32,""),"")</f>
        <v/>
      </c>
      <c r="AJ32" s="26" t="str">
        <f aca="false">IF(AND(J32&lt;&gt;"",K32&lt;&gt;""),MAX(0,K32-J32),"")</f>
        <v/>
      </c>
      <c r="AK32" s="27" t="str">
        <f aca="false">IF(OR(ISNUMBER(SEARCH("เคลียร์สินค้าและจัดส่งสินค้าแล้ว",Z32)),ISNUMBER(SEARCH("เคลียร์สินค้าเรียบร้อย",Z32)),ISNUMBER(SEARCH("เคลียร์สินค้าและจัดส่งแล้ว",Z32)),ISNUMBER(SEARCH("จัดส่งสินค้าแล้ว",Z32))), "จบงานแล้ว", "")</f>
        <v/>
      </c>
      <c r="AL32" s="28"/>
      <c r="AM32" s="29"/>
      <c r="AN32" s="30"/>
      <c r="AO32" s="29"/>
    </row>
    <row r="33" s="2" customFormat="true" ht="18.75" hidden="false" customHeight="true" outlineLevel="0" collapsed="false">
      <c r="A33" s="31" t="n">
        <f aca="false">ROW()-ROW($A$2)+1</f>
        <v>32</v>
      </c>
      <c r="B33" s="32" t="s">
        <v>279</v>
      </c>
      <c r="C33" s="32" t="s">
        <v>280</v>
      </c>
      <c r="D33" s="32" t="s">
        <v>96</v>
      </c>
      <c r="E33" s="32" t="s">
        <v>40</v>
      </c>
      <c r="F33" s="32" t="s">
        <v>54</v>
      </c>
      <c r="G33" s="32" t="s">
        <v>120</v>
      </c>
      <c r="H33" s="33" t="s">
        <v>43</v>
      </c>
      <c r="I33" s="34" t="n">
        <v>46077</v>
      </c>
      <c r="J33" s="34" t="n">
        <v>46077</v>
      </c>
      <c r="K33" s="31"/>
      <c r="L33" s="32" t="s">
        <v>281</v>
      </c>
      <c r="M33" s="32"/>
      <c r="N33" s="32" t="s">
        <v>282</v>
      </c>
      <c r="O33" s="35" t="s">
        <v>283</v>
      </c>
      <c r="P33" s="36" t="s">
        <v>284</v>
      </c>
      <c r="Q33" s="32" t="s">
        <v>285</v>
      </c>
      <c r="R33" s="32" t="s">
        <v>286</v>
      </c>
      <c r="S33" s="37" t="n">
        <f aca="false">FALSE()</f>
        <v>0</v>
      </c>
      <c r="T33" s="32" t="s">
        <v>77</v>
      </c>
      <c r="U33" s="38" t="n">
        <v>46066</v>
      </c>
      <c r="V33" s="38" t="n">
        <v>46066</v>
      </c>
      <c r="W33" s="38"/>
      <c r="X33" s="38"/>
      <c r="Y33" s="38"/>
      <c r="Z33" s="32" t="s">
        <v>287</v>
      </c>
      <c r="AA33" s="39" t="b">
        <f aca="false">TRUE()</f>
        <v>1</v>
      </c>
      <c r="AB33" s="39" t="b">
        <f aca="false">TRUE()</f>
        <v>1</v>
      </c>
      <c r="AC33" s="32" t="s">
        <v>79</v>
      </c>
      <c r="AH33" s="27" t="str">
        <f aca="false">IF(AK33="จบงานแล้ว","จบงานแล้ว",IF(K33="","In Transit",IF(K33&lt;=J33,"On Time","Delayed")))</f>
        <v>In Transit</v>
      </c>
      <c r="AI33" s="26" t="str">
        <f aca="false">IFERROR(IF(AND(ISNUMBER(U33),ISNUMBER(X33)),X33-U33,""),"")</f>
        <v/>
      </c>
      <c r="AJ33" s="26" t="str">
        <f aca="false">IF(AND(J33&lt;&gt;"",K33&lt;&gt;""),MAX(0,K33-J33),"")</f>
        <v/>
      </c>
      <c r="AK33" s="27" t="str">
        <f aca="false">IF(OR(ISNUMBER(SEARCH("เคลียร์สินค้าและจัดส่งสินค้าแล้ว",Z33)),ISNUMBER(SEARCH("เคลียร์สินค้าเรียบร้อย",Z33)),ISNUMBER(SEARCH("เคลียร์สินค้าและจัดส่งแล้ว",Z33)),ISNUMBER(SEARCH("จัดส่งสินค้าแล้ว",Z33))), "จบงานแล้ว", "")</f>
        <v/>
      </c>
      <c r="AL33" s="40"/>
      <c r="AM33" s="41"/>
      <c r="AN33" s="42"/>
      <c r="AO33" s="41"/>
    </row>
    <row r="34" s="2" customFormat="true" ht="18.75" hidden="false" customHeight="true" outlineLevel="0" collapsed="false">
      <c r="A34" s="16" t="n">
        <f aca="false">ROW()-ROW($A$2)+1</f>
        <v>33</v>
      </c>
      <c r="B34" s="17" t="s">
        <v>288</v>
      </c>
      <c r="C34" s="17" t="s">
        <v>289</v>
      </c>
      <c r="D34" s="17" t="s">
        <v>108</v>
      </c>
      <c r="E34" s="17" t="s">
        <v>40</v>
      </c>
      <c r="F34" s="17" t="s">
        <v>54</v>
      </c>
      <c r="G34" s="17" t="s">
        <v>120</v>
      </c>
      <c r="H34" s="18"/>
      <c r="I34" s="19" t="n">
        <v>46091</v>
      </c>
      <c r="J34" s="19" t="n">
        <v>46099</v>
      </c>
      <c r="K34" s="16"/>
      <c r="L34" s="17" t="s">
        <v>44</v>
      </c>
      <c r="M34" s="17" t="s">
        <v>43</v>
      </c>
      <c r="N34" s="17" t="s">
        <v>290</v>
      </c>
      <c r="O34" s="20" t="s">
        <v>291</v>
      </c>
      <c r="P34" s="21" t="s">
        <v>292</v>
      </c>
      <c r="Q34" s="17" t="s">
        <v>196</v>
      </c>
      <c r="R34" s="17" t="s">
        <v>293</v>
      </c>
      <c r="S34" s="43" t="n">
        <f aca="false">FALSE()</f>
        <v>0</v>
      </c>
      <c r="T34" s="17" t="s">
        <v>50</v>
      </c>
      <c r="U34" s="23"/>
      <c r="V34" s="23"/>
      <c r="W34" s="23"/>
      <c r="X34" s="23"/>
      <c r="Y34" s="23"/>
      <c r="Z34" s="17"/>
      <c r="AA34" s="22" t="b">
        <f aca="false">TRUE()</f>
        <v>1</v>
      </c>
      <c r="AB34" s="22" t="b">
        <f aca="false">TRUE()</f>
        <v>1</v>
      </c>
      <c r="AC34" s="17" t="s">
        <v>294</v>
      </c>
      <c r="AH34" s="27" t="str">
        <f aca="false">IF(AK34="จบงานแล้ว","จบงานแล้ว",IF(K34="","In Transit",IF(K34&lt;=J34,"On Time","Delayed")))</f>
        <v>In Transit</v>
      </c>
      <c r="AI34" s="26" t="str">
        <f aca="false">IFERROR(IF(AND(ISNUMBER(U34),ISNUMBER(X34)),X34-U34,""),"")</f>
        <v/>
      </c>
      <c r="AJ34" s="26" t="str">
        <f aca="false">IF(AND(J34&lt;&gt;"",K34&lt;&gt;""),MAX(0,K34-J34),"")</f>
        <v/>
      </c>
      <c r="AK34" s="27" t="str">
        <f aca="false">IF(OR(ISNUMBER(SEARCH("เคลียร์สินค้าและจัดส่งสินค้าแล้ว",Z34)),ISNUMBER(SEARCH("เคลียร์สินค้าเรียบร้อย",Z34)),ISNUMBER(SEARCH("เคลียร์สินค้าและจัดส่งแล้ว",Z34)),ISNUMBER(SEARCH("จัดส่งสินค้าแล้ว",Z34))), "จบงานแล้ว", "")</f>
        <v/>
      </c>
      <c r="AL34" s="28"/>
      <c r="AM34" s="29"/>
      <c r="AN34" s="30"/>
      <c r="AO34" s="29"/>
    </row>
    <row r="35" s="2" customFormat="true" ht="18.75" hidden="false" customHeight="true" outlineLevel="0" collapsed="false">
      <c r="A35" s="31" t="n">
        <f aca="false">ROW()-ROW($A$2)+1</f>
        <v>34</v>
      </c>
      <c r="B35" s="32" t="s">
        <v>288</v>
      </c>
      <c r="C35" s="32" t="s">
        <v>295</v>
      </c>
      <c r="D35" s="32" t="s">
        <v>108</v>
      </c>
      <c r="E35" s="32" t="s">
        <v>40</v>
      </c>
      <c r="F35" s="32" t="s">
        <v>54</v>
      </c>
      <c r="G35" s="32" t="s">
        <v>296</v>
      </c>
      <c r="H35" s="33" t="s">
        <v>43</v>
      </c>
      <c r="I35" s="34" t="s">
        <v>196</v>
      </c>
      <c r="J35" s="34" t="s">
        <v>196</v>
      </c>
      <c r="K35" s="31"/>
      <c r="L35" s="32" t="s">
        <v>281</v>
      </c>
      <c r="M35" s="32"/>
      <c r="N35" s="32" t="s">
        <v>297</v>
      </c>
      <c r="O35" s="35" t="s">
        <v>298</v>
      </c>
      <c r="P35" s="36" t="s">
        <v>299</v>
      </c>
      <c r="Q35" s="32" t="s">
        <v>300</v>
      </c>
      <c r="R35" s="32" t="s">
        <v>301</v>
      </c>
      <c r="S35" s="37" t="n">
        <f aca="false">FALSE()</f>
        <v>0</v>
      </c>
      <c r="T35" s="32" t="s">
        <v>277</v>
      </c>
      <c r="U35" s="38"/>
      <c r="V35" s="38"/>
      <c r="W35" s="38"/>
      <c r="X35" s="38"/>
      <c r="Y35" s="38"/>
      <c r="Z35" s="32"/>
      <c r="AA35" s="39" t="b">
        <f aca="false">TRUE()</f>
        <v>1</v>
      </c>
      <c r="AB35" s="39" t="b">
        <f aca="false">TRUE()</f>
        <v>1</v>
      </c>
      <c r="AC35" s="32" t="s">
        <v>294</v>
      </c>
      <c r="AH35" s="27" t="str">
        <f aca="false">IF(AK35="จบงานแล้ว","จบงานแล้ว",IF(K35="","In Transit",IF(K35&lt;=J35,"On Time","Delayed")))</f>
        <v>In Transit</v>
      </c>
      <c r="AI35" s="26" t="str">
        <f aca="false">IFERROR(IF(AND(ISNUMBER(U35),ISNUMBER(X35)),X35-U35,""),"")</f>
        <v/>
      </c>
      <c r="AJ35" s="26" t="str">
        <f aca="false">IF(AND(J35&lt;&gt;"",K35&lt;&gt;""),MAX(0,K35-J35),"")</f>
        <v/>
      </c>
      <c r="AK35" s="27" t="str">
        <f aca="false">IF(OR(ISNUMBER(SEARCH("เคลียร์สินค้าและจัดส่งสินค้าแล้ว",Z35)),ISNUMBER(SEARCH("เคลียร์สินค้าเรียบร้อย",Z35)),ISNUMBER(SEARCH("เคลียร์สินค้าและจัดส่งแล้ว",Z35)),ISNUMBER(SEARCH("จัดส่งสินค้าแล้ว",Z35))), "จบงานแล้ว", "")</f>
        <v/>
      </c>
      <c r="AL35" s="40"/>
      <c r="AM35" s="41"/>
      <c r="AN35" s="42"/>
      <c r="AO35" s="41"/>
    </row>
    <row r="36" customFormat="false" ht="18.75" hidden="false" customHeight="true" outlineLevel="0" collapsed="false">
      <c r="A36" s="16"/>
      <c r="B36" s="17"/>
      <c r="C36" s="17"/>
      <c r="D36" s="17"/>
      <c r="E36" s="17"/>
      <c r="F36" s="17"/>
      <c r="G36" s="17"/>
      <c r="H36" s="18"/>
      <c r="I36" s="19"/>
      <c r="J36" s="19"/>
      <c r="K36" s="16"/>
      <c r="L36" s="17"/>
      <c r="M36" s="17"/>
      <c r="N36" s="17"/>
      <c r="O36" s="20"/>
      <c r="P36" s="21"/>
      <c r="Q36" s="17"/>
      <c r="R36" s="17"/>
      <c r="S36" s="43" t="n">
        <f aca="false">FALSE()</f>
        <v>0</v>
      </c>
      <c r="T36" s="17"/>
      <c r="U36" s="23"/>
      <c r="V36" s="23"/>
      <c r="W36" s="23"/>
      <c r="X36" s="23"/>
      <c r="Y36" s="23"/>
      <c r="Z36" s="17"/>
      <c r="AA36" s="17"/>
      <c r="AB36" s="17"/>
      <c r="AC36" s="17"/>
      <c r="AH36" s="27" t="str">
        <f aca="false">IF(AK36="จบงานแล้ว","จบงานแล้ว",IF(K36="","In Transit",IF(K36&lt;=J36,"On Time","Delayed")))</f>
        <v>In Transit</v>
      </c>
      <c r="AI36" s="26" t="str">
        <f aca="false">IFERROR(IF(AND(ISNUMBER(U36),ISNUMBER(X36)),X36-U36,""),"")</f>
        <v/>
      </c>
      <c r="AJ36" s="26" t="str">
        <f aca="false">IF(AND(J36&lt;&gt;"",K36&lt;&gt;""),MAX(0,K36-J36),"")</f>
        <v/>
      </c>
      <c r="AK36" s="27" t="str">
        <f aca="false">IF(OR(ISNUMBER(SEARCH("เคลียร์สินค้าและจัดส่งสินค้าแล้ว",Z36)),ISNUMBER(SEARCH("เคลียร์สินค้าเรียบร้อย",Z36)),ISNUMBER(SEARCH("เคลียร์สินค้าและจัดส่งแล้ว",Z36)),ISNUMBER(SEARCH("จัดส่งสินค้าแล้ว",Z36))), "จบงานแล้ว", "")</f>
        <v/>
      </c>
      <c r="AL36" s="28"/>
      <c r="AM36" s="29"/>
      <c r="AN36" s="30"/>
      <c r="AO36" s="29"/>
    </row>
    <row r="37" customFormat="false" ht="15" hidden="false" customHeight="false" outlineLevel="0" collapsed="false">
      <c r="A37" s="31" t="n">
        <v>35</v>
      </c>
      <c r="B37" s="32" t="s">
        <v>302</v>
      </c>
      <c r="C37" s="32" t="s">
        <v>303</v>
      </c>
      <c r="D37" s="32" t="s">
        <v>304</v>
      </c>
      <c r="E37" s="32" t="s">
        <v>130</v>
      </c>
      <c r="F37" s="32" t="s">
        <v>305</v>
      </c>
      <c r="G37" s="32" t="s">
        <v>71</v>
      </c>
      <c r="H37" s="33"/>
      <c r="I37" s="34" t="n">
        <v>46058</v>
      </c>
      <c r="J37" s="34"/>
      <c r="K37" s="31"/>
      <c r="L37" s="32" t="s">
        <v>44</v>
      </c>
      <c r="M37" s="32"/>
      <c r="N37" s="32" t="s">
        <v>306</v>
      </c>
      <c r="O37" s="35" t="s">
        <v>307</v>
      </c>
      <c r="P37" s="36" t="s">
        <v>308</v>
      </c>
      <c r="Q37" s="32" t="s">
        <v>309</v>
      </c>
      <c r="R37" s="32" t="s">
        <v>310</v>
      </c>
      <c r="S37" s="37" t="n">
        <f aca="false">TRUE()</f>
        <v>1</v>
      </c>
      <c r="T37" s="32" t="s">
        <v>126</v>
      </c>
      <c r="U37" s="38" t="n">
        <v>46059</v>
      </c>
      <c r="V37" s="38" t="n">
        <v>46059</v>
      </c>
      <c r="W37" s="38"/>
      <c r="X37" s="38"/>
      <c r="Y37" s="38"/>
      <c r="Z37" s="32" t="s">
        <v>311</v>
      </c>
      <c r="AA37" s="39" t="b">
        <f aca="false">TRUE()</f>
        <v>1</v>
      </c>
      <c r="AB37" s="39" t="b">
        <f aca="false">TRUE()</f>
        <v>1</v>
      </c>
      <c r="AC37" s="32" t="s">
        <v>52</v>
      </c>
      <c r="AH37" s="27" t="str">
        <f aca="false">IF(AK37="จบงานแล้ว","จบงานแล้ว",IF(K37="","In Transit",IF(K37&lt;=J37,"On Time","Delayed")))</f>
        <v>จบงานแล้ว</v>
      </c>
      <c r="AI37" s="26" t="str">
        <f aca="false">IFERROR(IF(AND(ISNUMBER(U37),ISNUMBER(X37)),X37-U37,""),"")</f>
        <v/>
      </c>
      <c r="AJ37" s="26" t="str">
        <f aca="false">IF(AND(J37&lt;&gt;"",K37&lt;&gt;""),MAX(0,K37-J37),"")</f>
        <v/>
      </c>
      <c r="AK37" s="27" t="str">
        <f aca="false">IF(OR(ISNUMBER(SEARCH("เคลียร์สินค้าและจัดส่งสินค้าแล้ว",Z37)),ISNUMBER(SEARCH("เคลียร์สินค้าเรียบร้อย",Z37)),ISNUMBER(SEARCH("เคลียร์สินค้าและจัดส่งแล้ว",Z37)),ISNUMBER(SEARCH("จัดส่งสินค้าแล้ว",Z37))), "จบงานแล้ว", "")</f>
        <v>จบงานแล้ว</v>
      </c>
      <c r="AL37" s="40"/>
      <c r="AM37" s="41"/>
      <c r="AN37" s="42"/>
      <c r="AO37" s="41"/>
    </row>
    <row r="38" customFormat="false" ht="15" hidden="false" customHeight="false" outlineLevel="0" collapsed="false">
      <c r="A38" s="16" t="n">
        <v>36</v>
      </c>
      <c r="B38" s="17" t="s">
        <v>302</v>
      </c>
      <c r="C38" s="17" t="s">
        <v>312</v>
      </c>
      <c r="D38" s="17" t="s">
        <v>108</v>
      </c>
      <c r="E38" s="17" t="s">
        <v>40</v>
      </c>
      <c r="F38" s="17" t="s">
        <v>305</v>
      </c>
      <c r="G38" s="17" t="s">
        <v>186</v>
      </c>
      <c r="H38" s="18"/>
      <c r="I38" s="19" t="n">
        <v>46064</v>
      </c>
      <c r="J38" s="19"/>
      <c r="K38" s="16"/>
      <c r="L38" s="17" t="s">
        <v>44</v>
      </c>
      <c r="M38" s="17"/>
      <c r="N38" s="17" t="s">
        <v>313</v>
      </c>
      <c r="O38" s="20" t="s">
        <v>314</v>
      </c>
      <c r="P38" s="21" t="s">
        <v>315</v>
      </c>
      <c r="Q38" s="17" t="s">
        <v>316</v>
      </c>
      <c r="R38" s="17" t="s">
        <v>317</v>
      </c>
      <c r="S38" s="43" t="n">
        <f aca="false">TRUE()</f>
        <v>1</v>
      </c>
      <c r="T38" s="17" t="s">
        <v>126</v>
      </c>
      <c r="U38" s="23" t="n">
        <v>46064</v>
      </c>
      <c r="V38" s="23" t="n">
        <v>46064</v>
      </c>
      <c r="W38" s="23"/>
      <c r="X38" s="23"/>
      <c r="Y38" s="23"/>
      <c r="Z38" s="17" t="s">
        <v>318</v>
      </c>
      <c r="AA38" s="22" t="b">
        <f aca="false">TRUE()</f>
        <v>1</v>
      </c>
      <c r="AB38" s="22" t="b">
        <f aca="false">TRUE()</f>
        <v>1</v>
      </c>
      <c r="AC38" s="17" t="s">
        <v>52</v>
      </c>
      <c r="AH38" s="27" t="str">
        <f aca="false">IF(AK38="จบงานแล้ว","จบงานแล้ว",IF(K38="","In Transit",IF(K38&lt;=J38,"On Time","Delayed")))</f>
        <v>In Transit</v>
      </c>
      <c r="AI38" s="26" t="str">
        <f aca="false">IFERROR(IF(AND(ISNUMBER(U38),ISNUMBER(X38)),X38-U38,""),"")</f>
        <v/>
      </c>
      <c r="AJ38" s="26" t="str">
        <f aca="false">IF(AND(J38&lt;&gt;"",K38&lt;&gt;""),MAX(0,K38-J38),"")</f>
        <v/>
      </c>
      <c r="AK38" s="27" t="str">
        <f aca="false">IF(OR(ISNUMBER(SEARCH("เคลียร์สินค้าและจัดส่งสินค้าแล้ว",Z38)),ISNUMBER(SEARCH("เคลียร์สินค้าเรียบร้อย",Z38)),ISNUMBER(SEARCH("เคลียร์สินค้าและจัดส่งแล้ว",Z38)),ISNUMBER(SEARCH("จัดส่งสินค้าแล้ว",Z38))), "จบงานแล้ว", "")</f>
        <v/>
      </c>
      <c r="AL38" s="28"/>
      <c r="AM38" s="29"/>
      <c r="AN38" s="30"/>
      <c r="AO38" s="29"/>
    </row>
    <row r="39" customFormat="false" ht="15" hidden="false" customHeight="true" outlineLevel="0" collapsed="false">
      <c r="A39" s="31" t="n">
        <v>37</v>
      </c>
      <c r="B39" s="32" t="s">
        <v>302</v>
      </c>
      <c r="C39" s="32" t="s">
        <v>312</v>
      </c>
      <c r="D39" s="32" t="s">
        <v>108</v>
      </c>
      <c r="E39" s="32" t="s">
        <v>40</v>
      </c>
      <c r="F39" s="32" t="s">
        <v>305</v>
      </c>
      <c r="G39" s="32" t="s">
        <v>186</v>
      </c>
      <c r="H39" s="33"/>
      <c r="I39" s="34" t="n">
        <v>46064</v>
      </c>
      <c r="J39" s="34"/>
      <c r="K39" s="31"/>
      <c r="L39" s="32" t="s">
        <v>44</v>
      </c>
      <c r="M39" s="32"/>
      <c r="N39" s="32" t="s">
        <v>262</v>
      </c>
      <c r="O39" s="35" t="s">
        <v>319</v>
      </c>
      <c r="P39" s="36" t="s">
        <v>320</v>
      </c>
      <c r="Q39" s="32" t="s">
        <v>316</v>
      </c>
      <c r="R39" s="32" t="s">
        <v>321</v>
      </c>
      <c r="S39" s="37" t="n">
        <f aca="false">TRUE()</f>
        <v>1</v>
      </c>
      <c r="T39" s="32" t="s">
        <v>126</v>
      </c>
      <c r="U39" s="38" t="n">
        <v>46064</v>
      </c>
      <c r="V39" s="38" t="n">
        <v>46064</v>
      </c>
      <c r="W39" s="38"/>
      <c r="X39" s="38"/>
      <c r="Y39" s="38"/>
      <c r="Z39" s="32" t="s">
        <v>322</v>
      </c>
      <c r="AA39" s="39" t="b">
        <f aca="false">TRUE()</f>
        <v>1</v>
      </c>
      <c r="AB39" s="39" t="b">
        <f aca="false">TRUE()</f>
        <v>1</v>
      </c>
      <c r="AC39" s="32" t="s">
        <v>52</v>
      </c>
      <c r="AH39" s="27" t="str">
        <f aca="false">IF(AK39="จบงานแล้ว","จบงานแล้ว",IF(K39="","In Transit",IF(K39&lt;=J39,"On Time","Delayed")))</f>
        <v>In Transit</v>
      </c>
      <c r="AI39" s="26" t="str">
        <f aca="false">IFERROR(IF(AND(ISNUMBER(U39),ISNUMBER(X39)),X39-U39,""),"")</f>
        <v/>
      </c>
      <c r="AJ39" s="26" t="str">
        <f aca="false">IF(AND(J39&lt;&gt;"",K39&lt;&gt;""),MAX(0,K39-J39),"")</f>
        <v/>
      </c>
      <c r="AK39" s="27" t="str">
        <f aca="false">IF(OR(ISNUMBER(SEARCH("เคลียร์สินค้าและจัดส่งสินค้าแล้ว",Z39)),ISNUMBER(SEARCH("เคลียร์สินค้าเรียบร้อย",Z39)),ISNUMBER(SEARCH("เคลียร์สินค้าและจัดส่งแล้ว",Z39)),ISNUMBER(SEARCH("จัดส่งสินค้าแล้ว",Z39))), "จบงานแล้ว", "")</f>
        <v/>
      </c>
      <c r="AL39" s="40"/>
      <c r="AM39" s="41"/>
      <c r="AN39" s="42"/>
      <c r="AO39" s="41"/>
    </row>
    <row r="40" customFormat="false" ht="15" hidden="false" customHeight="false" outlineLevel="0" collapsed="false">
      <c r="A40" s="16" t="n">
        <v>38</v>
      </c>
      <c r="B40" s="17" t="s">
        <v>302</v>
      </c>
      <c r="C40" s="17" t="s">
        <v>323</v>
      </c>
      <c r="D40" s="17" t="s">
        <v>108</v>
      </c>
      <c r="E40" s="17" t="s">
        <v>130</v>
      </c>
      <c r="F40" s="17" t="s">
        <v>305</v>
      </c>
      <c r="G40" s="17" t="s">
        <v>71</v>
      </c>
      <c r="H40" s="18"/>
      <c r="I40" s="19" t="n">
        <v>46065</v>
      </c>
      <c r="J40" s="19"/>
      <c r="K40" s="16"/>
      <c r="L40" s="17" t="s">
        <v>44</v>
      </c>
      <c r="M40" s="17"/>
      <c r="N40" s="17" t="s">
        <v>324</v>
      </c>
      <c r="O40" s="20" t="s">
        <v>325</v>
      </c>
      <c r="P40" s="21" t="s">
        <v>326</v>
      </c>
      <c r="Q40" s="17" t="s">
        <v>113</v>
      </c>
      <c r="R40" s="17" t="s">
        <v>327</v>
      </c>
      <c r="S40" s="43" t="n">
        <f aca="false">TRUE()</f>
        <v>1</v>
      </c>
      <c r="T40" s="17" t="s">
        <v>126</v>
      </c>
      <c r="U40" s="23" t="n">
        <v>46065</v>
      </c>
      <c r="V40" s="23" t="n">
        <v>46058</v>
      </c>
      <c r="W40" s="23"/>
      <c r="X40" s="23"/>
      <c r="Y40" s="23"/>
      <c r="Z40" s="17" t="s">
        <v>328</v>
      </c>
      <c r="AA40" s="22" t="b">
        <f aca="false">TRUE()</f>
        <v>1</v>
      </c>
      <c r="AB40" s="22" t="b">
        <f aca="false">TRUE()</f>
        <v>1</v>
      </c>
      <c r="AC40" s="17" t="s">
        <v>52</v>
      </c>
      <c r="AH40" s="27" t="str">
        <f aca="false">IF(AK40="จบงานแล้ว","จบงานแล้ว",IF(K40="","In Transit",IF(K40&lt;=J40,"On Time","Delayed")))</f>
        <v>In Transit</v>
      </c>
      <c r="AI40" s="26" t="str">
        <f aca="false">IFERROR(IF(AND(ISNUMBER(U40),ISNUMBER(X40)),X40-U40,""),"")</f>
        <v/>
      </c>
      <c r="AJ40" s="26" t="str">
        <f aca="false">IF(AND(J40&lt;&gt;"",K40&lt;&gt;""),MAX(0,K40-J40),"")</f>
        <v/>
      </c>
      <c r="AK40" s="27" t="str">
        <f aca="false">IF(OR(ISNUMBER(SEARCH("เคลียร์สินค้าและจัดส่งสินค้าแล้ว",Z40)),ISNUMBER(SEARCH("เคลียร์สินค้าเรียบร้อย",Z40)),ISNUMBER(SEARCH("เคลียร์สินค้าและจัดส่งแล้ว",Z40)),ISNUMBER(SEARCH("จัดส่งสินค้าแล้ว",Z40))), "จบงานแล้ว", "")</f>
        <v/>
      </c>
      <c r="AL40" s="28"/>
      <c r="AM40" s="29"/>
      <c r="AN40" s="30"/>
      <c r="AO40" s="29"/>
    </row>
    <row r="41" customFormat="false" ht="15" hidden="false" customHeight="true" outlineLevel="0" collapsed="false">
      <c r="A41" s="31" t="n">
        <v>39</v>
      </c>
      <c r="B41" s="32" t="s">
        <v>302</v>
      </c>
      <c r="C41" s="32" t="s">
        <v>329</v>
      </c>
      <c r="D41" s="32" t="s">
        <v>304</v>
      </c>
      <c r="E41" s="32" t="s">
        <v>130</v>
      </c>
      <c r="F41" s="32" t="s">
        <v>305</v>
      </c>
      <c r="G41" s="32" t="s">
        <v>71</v>
      </c>
      <c r="H41" s="33"/>
      <c r="I41" s="34" t="n">
        <v>46058</v>
      </c>
      <c r="J41" s="34"/>
      <c r="K41" s="31"/>
      <c r="L41" s="32" t="s">
        <v>44</v>
      </c>
      <c r="M41" s="32"/>
      <c r="N41" s="32" t="s">
        <v>330</v>
      </c>
      <c r="O41" s="35" t="s">
        <v>331</v>
      </c>
      <c r="P41" s="36" t="s">
        <v>332</v>
      </c>
      <c r="Q41" s="32" t="s">
        <v>309</v>
      </c>
      <c r="R41" s="32" t="s">
        <v>333</v>
      </c>
      <c r="S41" s="37" t="n">
        <f aca="false">TRUE()</f>
        <v>1</v>
      </c>
      <c r="T41" s="32" t="s">
        <v>126</v>
      </c>
      <c r="U41" s="38" t="n">
        <v>46058</v>
      </c>
      <c r="V41" s="38" t="n">
        <v>46058</v>
      </c>
      <c r="W41" s="38"/>
      <c r="X41" s="38"/>
      <c r="Y41" s="38"/>
      <c r="Z41" s="32" t="s">
        <v>311</v>
      </c>
      <c r="AA41" s="39" t="b">
        <f aca="false">TRUE()</f>
        <v>1</v>
      </c>
      <c r="AB41" s="39" t="b">
        <f aca="false">TRUE()</f>
        <v>1</v>
      </c>
      <c r="AC41" s="32" t="s">
        <v>52</v>
      </c>
      <c r="AH41" s="27" t="str">
        <f aca="false">IF(AK41="จบงานแล้ว","จบงานแล้ว",IF(K41="","In Transit",IF(K41&lt;=J41,"On Time","Delayed")))</f>
        <v>จบงานแล้ว</v>
      </c>
      <c r="AI41" s="26" t="str">
        <f aca="false">IFERROR(IF(AND(ISNUMBER(U41),ISNUMBER(X41)),X41-U41,""),"")</f>
        <v/>
      </c>
      <c r="AJ41" s="26" t="str">
        <f aca="false">IF(AND(J41&lt;&gt;"",K41&lt;&gt;""),MAX(0,K41-J41),"")</f>
        <v/>
      </c>
      <c r="AK41" s="27" t="str">
        <f aca="false">IF(OR(ISNUMBER(SEARCH("เคลียร์สินค้าและจัดส่งสินค้าแล้ว",Z41)),ISNUMBER(SEARCH("เคลียร์สินค้าเรียบร้อย",Z41)),ISNUMBER(SEARCH("เคลียร์สินค้าและจัดส่งแล้ว",Z41)),ISNUMBER(SEARCH("จัดส่งสินค้าแล้ว",Z41))), "จบงานแล้ว", "")</f>
        <v>จบงานแล้ว</v>
      </c>
      <c r="AL41" s="40"/>
      <c r="AM41" s="41"/>
      <c r="AN41" s="42"/>
      <c r="AO41" s="41"/>
    </row>
    <row r="42" customFormat="false" ht="15" hidden="false" customHeight="true" outlineLevel="0" collapsed="false">
      <c r="A42" s="16" t="n">
        <v>40</v>
      </c>
      <c r="B42" s="17" t="s">
        <v>302</v>
      </c>
      <c r="C42" s="17" t="s">
        <v>334</v>
      </c>
      <c r="D42" s="17" t="s">
        <v>304</v>
      </c>
      <c r="E42" s="17" t="s">
        <v>130</v>
      </c>
      <c r="F42" s="17" t="s">
        <v>305</v>
      </c>
      <c r="G42" s="17" t="s">
        <v>71</v>
      </c>
      <c r="H42" s="18"/>
      <c r="I42" s="19" t="n">
        <v>46070</v>
      </c>
      <c r="J42" s="19"/>
      <c r="K42" s="16"/>
      <c r="L42" s="17" t="s">
        <v>44</v>
      </c>
      <c r="M42" s="17"/>
      <c r="N42" s="17" t="s">
        <v>335</v>
      </c>
      <c r="O42" s="20" t="s">
        <v>336</v>
      </c>
      <c r="P42" s="21" t="s">
        <v>337</v>
      </c>
      <c r="Q42" s="17" t="s">
        <v>275</v>
      </c>
      <c r="R42" s="17" t="s">
        <v>338</v>
      </c>
      <c r="S42" s="43" t="n">
        <f aca="false">TRUE()</f>
        <v>1</v>
      </c>
      <c r="T42" s="17" t="s">
        <v>126</v>
      </c>
      <c r="U42" s="23" t="n">
        <v>46062</v>
      </c>
      <c r="V42" s="23" t="n">
        <v>46062</v>
      </c>
      <c r="W42" s="23"/>
      <c r="X42" s="23"/>
      <c r="Y42" s="23"/>
      <c r="Z42" s="17" t="s">
        <v>339</v>
      </c>
      <c r="AA42" s="22" t="b">
        <f aca="false">TRUE()</f>
        <v>1</v>
      </c>
      <c r="AB42" s="22" t="b">
        <f aca="false">TRUE()</f>
        <v>1</v>
      </c>
      <c r="AC42" s="17" t="s">
        <v>340</v>
      </c>
      <c r="AH42" s="27" t="str">
        <f aca="false">IF(AK42="จบงานแล้ว","จบงานแล้ว",IF(K42="","In Transit",IF(K42&lt;=J42,"On Time","Delayed")))</f>
        <v>In Transit</v>
      </c>
      <c r="AI42" s="26" t="str">
        <f aca="false">IFERROR(IF(AND(ISNUMBER(U42),ISNUMBER(X42)),X42-U42,""),"")</f>
        <v/>
      </c>
      <c r="AJ42" s="26" t="str">
        <f aca="false">IF(AND(J42&lt;&gt;"",K42&lt;&gt;""),MAX(0,K42-J42),"")</f>
        <v/>
      </c>
      <c r="AK42" s="27" t="str">
        <f aca="false">IF(OR(ISNUMBER(SEARCH("เคลียร์สินค้าและจัดส่งสินค้าแล้ว",Z42)),ISNUMBER(SEARCH("เคลียร์สินค้าเรียบร้อย",Z42)),ISNUMBER(SEARCH("เคลียร์สินค้าและจัดส่งแล้ว",Z42)),ISNUMBER(SEARCH("จัดส่งสินค้าแล้ว",Z42))), "จบงานแล้ว", "")</f>
        <v/>
      </c>
      <c r="AL42" s="28"/>
      <c r="AM42" s="29"/>
      <c r="AN42" s="30"/>
      <c r="AO42" s="29"/>
    </row>
    <row r="43" customFormat="false" ht="15" hidden="false" customHeight="true" outlineLevel="0" collapsed="false">
      <c r="A43" s="45" t="n">
        <v>42</v>
      </c>
      <c r="B43" s="46"/>
      <c r="C43" s="47"/>
      <c r="D43" s="46"/>
      <c r="E43" s="46"/>
      <c r="F43" s="46"/>
      <c r="G43" s="46"/>
      <c r="H43" s="48"/>
      <c r="I43" s="48"/>
      <c r="J43" s="48"/>
      <c r="K43" s="46"/>
      <c r="L43" s="46"/>
      <c r="M43" s="49"/>
      <c r="N43" s="49"/>
      <c r="O43" s="50"/>
      <c r="P43" s="51"/>
      <c r="Q43" s="46"/>
      <c r="R43" s="52"/>
      <c r="S43" s="49"/>
      <c r="T43" s="49"/>
      <c r="U43" s="53"/>
      <c r="V43" s="53"/>
      <c r="W43" s="53"/>
      <c r="X43" s="53"/>
      <c r="Y43" s="53"/>
      <c r="Z43" s="49"/>
      <c r="AA43" s="54"/>
      <c r="AB43" s="54"/>
      <c r="AC43" s="55"/>
      <c r="AH43" s="54"/>
    </row>
    <row r="44" customFormat="false" ht="21.75" hidden="false" customHeight="true" outlineLevel="0" collapsed="false">
      <c r="A44" s="56" t="s">
        <v>341</v>
      </c>
      <c r="B44" s="56"/>
      <c r="C44" s="56"/>
      <c r="D44" s="56"/>
      <c r="E44" s="56"/>
      <c r="F44" s="56"/>
      <c r="G44" s="56"/>
      <c r="H44" s="56"/>
      <c r="I44" s="57"/>
      <c r="J44" s="57"/>
      <c r="K44" s="54"/>
      <c r="L44" s="54"/>
      <c r="M44" s="55"/>
      <c r="N44" s="54"/>
      <c r="O44" s="58"/>
      <c r="P44" s="59"/>
      <c r="Q44" s="54"/>
      <c r="R44" s="54"/>
      <c r="S44" s="54"/>
      <c r="T44" s="54"/>
      <c r="U44" s="60"/>
      <c r="V44" s="60"/>
      <c r="W44" s="60"/>
      <c r="X44" s="60"/>
      <c r="Y44" s="60"/>
      <c r="Z44" s="54"/>
      <c r="AA44" s="54"/>
      <c r="AB44" s="54"/>
      <c r="AC44" s="55"/>
      <c r="AH44" s="54"/>
    </row>
    <row r="45" customFormat="false" ht="19.5" hidden="false" customHeight="true" outlineLevel="0" collapsed="false">
      <c r="A45" s="61" t="s">
        <v>342</v>
      </c>
      <c r="B45" s="61"/>
      <c r="C45" s="62" t="n">
        <f aca="false">COUNTA(B2:B42)</f>
        <v>37</v>
      </c>
      <c r="D45" s="54"/>
      <c r="E45" s="54"/>
      <c r="F45" s="54"/>
      <c r="G45" s="54"/>
      <c r="H45" s="57"/>
      <c r="I45" s="57"/>
      <c r="J45" s="57"/>
      <c r="K45" s="54"/>
      <c r="L45" s="54"/>
      <c r="M45" s="55"/>
      <c r="N45" s="54"/>
      <c r="O45" s="58"/>
      <c r="P45" s="59"/>
      <c r="Q45" s="54"/>
      <c r="R45" s="54"/>
      <c r="S45" s="54"/>
      <c r="T45" s="54"/>
      <c r="U45" s="60"/>
      <c r="V45" s="60"/>
      <c r="W45" s="60"/>
      <c r="X45" s="60"/>
      <c r="Y45" s="60"/>
      <c r="Z45" s="54"/>
      <c r="AA45" s="54"/>
      <c r="AB45" s="54"/>
      <c r="AC45" s="55"/>
      <c r="AH45" s="54"/>
    </row>
    <row r="46" customFormat="false" ht="19.5" hidden="false" customHeight="true" outlineLevel="0" collapsed="false">
      <c r="A46" s="63" t="s">
        <v>343</v>
      </c>
      <c r="B46" s="63"/>
      <c r="C46" s="62" t="n">
        <f aca="false">COUNTIF(AH2:AH42,"On Time")</f>
        <v>0</v>
      </c>
      <c r="D46" s="54"/>
      <c r="E46" s="54"/>
      <c r="F46" s="54"/>
      <c r="G46" s="54"/>
      <c r="H46" s="57"/>
      <c r="I46" s="57"/>
      <c r="J46" s="57"/>
      <c r="K46" s="54"/>
      <c r="L46" s="54"/>
      <c r="M46" s="55"/>
      <c r="N46" s="54"/>
      <c r="O46" s="58"/>
      <c r="P46" s="59"/>
      <c r="Q46" s="54"/>
      <c r="R46" s="54"/>
      <c r="S46" s="54"/>
      <c r="T46" s="54"/>
      <c r="U46" s="60"/>
      <c r="V46" s="60"/>
      <c r="W46" s="60"/>
      <c r="X46" s="60"/>
      <c r="Y46" s="60"/>
      <c r="Z46" s="54"/>
      <c r="AA46" s="54"/>
      <c r="AB46" s="54"/>
      <c r="AC46" s="55"/>
      <c r="AH46" s="54"/>
    </row>
    <row r="47" customFormat="false" ht="19.5" hidden="false" customHeight="true" outlineLevel="0" collapsed="false">
      <c r="A47" s="64" t="s">
        <v>344</v>
      </c>
      <c r="B47" s="64"/>
      <c r="C47" s="62" t="n">
        <f aca="false">COUNTIF(AH2:AH42,"Delayed")</f>
        <v>0</v>
      </c>
      <c r="D47" s="54"/>
      <c r="E47" s="54"/>
      <c r="F47" s="54"/>
      <c r="G47" s="54"/>
      <c r="H47" s="57"/>
      <c r="I47" s="57"/>
      <c r="J47" s="57"/>
      <c r="K47" s="54"/>
      <c r="L47" s="54"/>
      <c r="M47" s="55"/>
      <c r="N47" s="54"/>
      <c r="O47" s="58"/>
      <c r="P47" s="59"/>
      <c r="Q47" s="54"/>
      <c r="R47" s="54"/>
      <c r="S47" s="54"/>
      <c r="T47" s="54"/>
      <c r="U47" s="60"/>
      <c r="V47" s="60"/>
      <c r="W47" s="60"/>
      <c r="X47" s="60"/>
      <c r="Y47" s="60"/>
      <c r="Z47" s="54"/>
      <c r="AA47" s="54"/>
      <c r="AB47" s="54"/>
      <c r="AC47" s="55"/>
      <c r="AH47" s="54"/>
    </row>
    <row r="48" customFormat="false" ht="19.5" hidden="false" customHeight="true" outlineLevel="0" collapsed="false">
      <c r="A48" s="65" t="s">
        <v>345</v>
      </c>
      <c r="B48" s="65"/>
      <c r="C48" s="62" t="n">
        <f aca="false">COUNTIF(AH2:AH42,"In Transit")</f>
        <v>27</v>
      </c>
      <c r="D48" s="54"/>
      <c r="E48" s="54"/>
      <c r="F48" s="54"/>
      <c r="G48" s="54"/>
      <c r="H48" s="57"/>
      <c r="I48" s="57"/>
      <c r="J48" s="57"/>
      <c r="K48" s="54"/>
      <c r="L48" s="54"/>
      <c r="M48" s="55"/>
      <c r="N48" s="54"/>
      <c r="O48" s="58"/>
      <c r="P48" s="59"/>
      <c r="Q48" s="54"/>
      <c r="R48" s="54"/>
      <c r="S48" s="54"/>
      <c r="T48" s="54"/>
      <c r="U48" s="60"/>
      <c r="V48" s="60"/>
      <c r="W48" s="60"/>
      <c r="X48" s="60"/>
      <c r="Y48" s="60"/>
      <c r="Z48" s="54"/>
      <c r="AA48" s="54"/>
      <c r="AB48" s="54"/>
      <c r="AC48" s="55"/>
      <c r="AH48" s="54"/>
    </row>
    <row r="49" customFormat="false" ht="19.5" hidden="false" customHeight="true" outlineLevel="0" collapsed="false">
      <c r="A49" s="66" t="s">
        <v>346</v>
      </c>
      <c r="B49" s="66"/>
      <c r="C49" s="62" t="n">
        <f aca="false">COUNTIF(AH2:AH42,"จบงานแล้ว")</f>
        <v>14</v>
      </c>
      <c r="D49" s="54"/>
      <c r="E49" s="54"/>
      <c r="F49" s="54"/>
      <c r="G49" s="54"/>
      <c r="H49" s="57"/>
      <c r="I49" s="57"/>
      <c r="J49" s="57"/>
      <c r="K49" s="54"/>
      <c r="L49" s="54"/>
      <c r="M49" s="55"/>
      <c r="N49" s="54"/>
      <c r="O49" s="58"/>
      <c r="P49" s="59"/>
      <c r="Q49" s="54"/>
      <c r="R49" s="54"/>
      <c r="S49" s="54"/>
      <c r="T49" s="54"/>
      <c r="U49" s="60"/>
      <c r="V49" s="60"/>
      <c r="W49" s="60"/>
      <c r="X49" s="60"/>
      <c r="Y49" s="60"/>
      <c r="Z49" s="54"/>
      <c r="AA49" s="54"/>
      <c r="AB49" s="54"/>
      <c r="AC49" s="55"/>
      <c r="AH49" s="54"/>
    </row>
    <row r="50" customFormat="false" ht="19.5" hidden="false" customHeight="true" outlineLevel="0" collapsed="false">
      <c r="A50" s="61" t="s">
        <v>347</v>
      </c>
      <c r="B50" s="61"/>
      <c r="C50" s="67" t="n">
        <f aca="false">IFERROR(COUNTIF(AH2:AH42,"On Time")/COUNTA(AH2:AH42),"N/A")</f>
        <v>0</v>
      </c>
      <c r="D50" s="54"/>
      <c r="E50" s="54"/>
      <c r="F50" s="54"/>
      <c r="G50" s="54"/>
      <c r="H50" s="57"/>
      <c r="I50" s="57"/>
      <c r="J50" s="57"/>
      <c r="K50" s="54"/>
      <c r="L50" s="54"/>
      <c r="M50" s="55"/>
      <c r="N50" s="54"/>
      <c r="O50" s="58"/>
      <c r="P50" s="59"/>
      <c r="Q50" s="54"/>
      <c r="R50" s="54"/>
      <c r="S50" s="54"/>
      <c r="T50" s="54"/>
      <c r="U50" s="60"/>
      <c r="V50" s="60"/>
      <c r="W50" s="60"/>
      <c r="X50" s="60"/>
      <c r="Y50" s="60"/>
      <c r="Z50" s="54"/>
      <c r="AA50" s="54"/>
      <c r="AB50" s="54"/>
      <c r="AC50" s="55"/>
      <c r="AH50" s="54"/>
    </row>
    <row r="51" customFormat="false" ht="19.5" hidden="false" customHeight="true" outlineLevel="0" collapsed="false">
      <c r="A51" s="61" t="s">
        <v>348</v>
      </c>
      <c r="B51" s="61"/>
      <c r="C51" s="68" t="n">
        <f aca="false">IFERROR(AVERAGEIF(AI2:AI42,"&lt;&gt;"&amp;"",AI2:AI42),"N/A")</f>
        <v>15.7142857142857</v>
      </c>
      <c r="D51" s="54"/>
      <c r="E51" s="54"/>
      <c r="F51" s="54"/>
      <c r="G51" s="54"/>
      <c r="H51" s="57"/>
      <c r="I51" s="57"/>
      <c r="J51" s="57"/>
      <c r="K51" s="54"/>
      <c r="L51" s="54"/>
      <c r="M51" s="55"/>
      <c r="N51" s="54"/>
      <c r="O51" s="58"/>
      <c r="P51" s="59"/>
      <c r="Q51" s="54"/>
      <c r="R51" s="54"/>
      <c r="S51" s="54"/>
      <c r="T51" s="54"/>
      <c r="U51" s="60"/>
      <c r="V51" s="60"/>
      <c r="W51" s="60"/>
      <c r="X51" s="60"/>
      <c r="Y51" s="60"/>
      <c r="Z51" s="54"/>
      <c r="AA51" s="54"/>
      <c r="AB51" s="54"/>
      <c r="AC51" s="55"/>
      <c r="AH51" s="54"/>
    </row>
    <row r="52" customFormat="false" ht="19.5" hidden="false" customHeight="true" outlineLevel="0" collapsed="false">
      <c r="A52" s="61" t="s">
        <v>349</v>
      </c>
      <c r="B52" s="61"/>
      <c r="C52" s="68" t="str">
        <f aca="false">IFERROR(AVERAGEIF(AJ2:AJ42,"&gt;"&amp;0,AJ2:AJ42),"N/A")</f>
        <v>N/A</v>
      </c>
    </row>
    <row r="53" customFormat="false" ht="19.5" hidden="false" customHeight="true" outlineLevel="0" collapsed="false">
      <c r="A53" s="69" t="s">
        <v>350</v>
      </c>
      <c r="B53" s="69"/>
      <c r="C53" s="62" t="n">
        <f aca="false">IFERROR(COUNTA(AO2:AO42),0)</f>
        <v>0</v>
      </c>
    </row>
    <row r="54" customFormat="false" ht="19.5" hidden="false" customHeight="true" outlineLevel="0" collapsed="false">
      <c r="A54" s="63" t="s">
        <v>351</v>
      </c>
      <c r="B54" s="63"/>
      <c r="C54" s="62" t="n">
        <f aca="false">COUNTIF(AO2:AO42,"Paid")</f>
        <v>0</v>
      </c>
    </row>
    <row r="55" customFormat="false" ht="19.5" hidden="false" customHeight="true" outlineLevel="0" collapsed="false">
      <c r="A55" s="64" t="s">
        <v>352</v>
      </c>
      <c r="B55" s="64"/>
      <c r="C55" s="62" t="n">
        <f aca="false">COUNTIF(AO2:AO42,"Unpaid")+COUNTIF(AO2:AO42,"Pending")</f>
        <v>0</v>
      </c>
    </row>
    <row r="56" customFormat="false" ht="19.5" hidden="false" customHeight="true" outlineLevel="0" collapsed="false">
      <c r="A56" s="69" t="s">
        <v>353</v>
      </c>
      <c r="B56" s="69"/>
      <c r="C56" s="70" t="n">
        <f aca="false">IFERROR(SUM(AN2:AN42),0)</f>
        <v>0</v>
      </c>
    </row>
    <row r="57" customFormat="false" ht="19.5" hidden="false" customHeight="true" outlineLevel="0" collapsed="false">
      <c r="A57" s="63" t="s">
        <v>354</v>
      </c>
      <c r="B57" s="63"/>
      <c r="C57" s="70" t="n">
        <f aca="false">IFERROR(SUMIF(AO2:AO42,"Paid",AN2:AN42),0)</f>
        <v>0</v>
      </c>
    </row>
    <row r="58" customFormat="false" ht="19.5" hidden="false" customHeight="true" outlineLevel="0" collapsed="false">
      <c r="A58" s="64" t="s">
        <v>355</v>
      </c>
      <c r="B58" s="64"/>
      <c r="C58" s="70" t="n">
        <f aca="false">IFERROR(SUMIF(AO2:AO42,"Unpaid",AN2:AN42)+SUMIF(AO2:AO42,"Pending",AN2:AN42),0)</f>
        <v>0</v>
      </c>
    </row>
  </sheetData>
  <autoFilter ref="A1:AB34">
    <sortState ref="A2:AB34">
      <sortCondition ref="A2:A34" customList=""/>
    </sortState>
  </autoFilter>
  <mergeCells count="15">
    <mergeCell ref="A44:H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</mergeCells>
  <conditionalFormatting sqref="AH2:AH42">
    <cfRule type="expression" priority="2" aboveAverage="0" equalAverage="0" bottom="0" percent="0" rank="0" text="" dxfId="4">
      <formula>AH2="On Time"</formula>
    </cfRule>
    <cfRule type="expression" priority="3" aboveAverage="0" equalAverage="0" bottom="0" percent="0" rank="0" text="" dxfId="5">
      <formula>AH2="Delayed"</formula>
    </cfRule>
    <cfRule type="expression" priority="4" aboveAverage="0" equalAverage="0" bottom="0" percent="0" rank="0" text="" dxfId="6">
      <formula>AH2="In Transit"</formula>
    </cfRule>
    <cfRule type="expression" priority="5" aboveAverage="0" equalAverage="0" bottom="0" percent="0" rank="0" text="" dxfId="7">
      <formula>AH2="จบงานแล้ว"</formula>
    </cfRule>
  </conditionalFormatting>
  <conditionalFormatting sqref="AK2:AK42">
    <cfRule type="expression" priority="6" aboveAverage="0" equalAverage="0" bottom="0" percent="0" rank="0" text="" dxfId="7">
      <formula>AK2="จบงานแล้ว"</formula>
    </cfRule>
  </conditionalFormatting>
  <conditionalFormatting sqref="AI2:AI42">
    <cfRule type="cellIs" priority="7" operator="lessThanOrEqual" aboveAverage="0" equalAverage="0" bottom="0" percent="0" rank="0" text="" dxfId="4">
      <formula>5</formula>
    </cfRule>
    <cfRule type="cellIs" priority="8" operator="greaterThan" aboveAverage="0" equalAverage="0" bottom="0" percent="0" rank="0" text="" dxfId="5">
      <formula>10</formula>
    </cfRule>
  </conditionalFormatting>
  <conditionalFormatting sqref="AJ2:AJ42">
    <cfRule type="cellIs" priority="9" operator="greaterThan" aboveAverage="0" equalAverage="0" bottom="0" percent="0" rank="0" text="" dxfId="5">
      <formula>0</formula>
    </cfRule>
  </conditionalFormatting>
  <conditionalFormatting sqref="AO2:AO42">
    <cfRule type="expression" priority="10" aboveAverage="0" equalAverage="0" bottom="0" percent="0" rank="0" text="" dxfId="4">
      <formula>AO2="Paid"</formula>
    </cfRule>
    <cfRule type="expression" priority="11" aboveAverage="0" equalAverage="0" bottom="0" percent="0" rank="0" text="" dxfId="5">
      <formula>AO2="Unpaid"</formula>
    </cfRule>
    <cfRule type="expression" priority="12" aboveAverage="0" equalAverage="0" bottom="0" percent="0" rank="0" text="" dxfId="6">
      <formula>AO2="Pending"</formula>
    </cfRule>
  </conditionalFormatting>
  <dataValidations count="1">
    <dataValidation allowBlank="true" error="กรุณาเลือก: Paid, Unpaid หรือ Pending" errorStyle="stop" errorTitle="ค่าไม่ถูกต้อง" operator="between" showDropDown="false" showErrorMessage="false" showInputMessage="false" sqref="AO2:AO42" type="list">
      <formula1>"Paid,Unpaid,Pending"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F752"/>
    <pageSetUpPr fitToPage="false"/>
  </sheetPr>
  <dimension ref="A2:AQ43"/>
  <sheetViews>
    <sheetView showFormulas="false" showGridLines="true" showRowColHeaders="true" showZeros="true" rightToLeft="false" tabSelected="false" showOutlineSymbols="true" defaultGridColor="true" view="normal" topLeftCell="O1" colorId="64" zoomScale="110" zoomScaleNormal="110" zoomScalePageLayoutView="100" workbookViewId="0">
      <pane xSplit="2" ySplit="2" topLeftCell="C3" activePane="bottomRight" state="frozen"/>
      <selection pane="topLeft" activeCell="O1" activeCellId="0" sqref="O1"/>
      <selection pane="topRight" activeCell="C1" activeCellId="0" sqref="C1"/>
      <selection pane="bottomLeft" activeCell="O3" activeCellId="0" sqref="O3"/>
      <selection pane="bottomRight" activeCell="W11" activeCellId="0" sqref="W11"/>
    </sheetView>
  </sheetViews>
  <sheetFormatPr defaultColWidth="8.6796875" defaultRowHeight="15" zeroHeight="false" outlineLevelRow="0" outlineLevelCol="0"/>
  <cols>
    <col collapsed="false" customWidth="true" hidden="false" outlineLevel="0" max="1" min="1" style="71" width="6.29"/>
    <col collapsed="false" customWidth="true" hidden="false" outlineLevel="0" max="2" min="2" style="71" width="16"/>
    <col collapsed="false" customWidth="true" hidden="false" outlineLevel="0" max="3" min="3" style="71" width="38.71"/>
    <col collapsed="false" customWidth="true" hidden="false" outlineLevel="0" max="4" min="4" style="71" width="9.71"/>
    <col collapsed="false" customWidth="true" hidden="false" outlineLevel="0" max="5" min="5" style="71" width="9.14"/>
    <col collapsed="false" customWidth="true" hidden="false" outlineLevel="0" max="6" min="6" style="71" width="11.29"/>
    <col collapsed="false" customWidth="true" hidden="false" outlineLevel="0" max="7" min="7" style="71" width="22.57"/>
    <col collapsed="false" customWidth="true" hidden="false" outlineLevel="0" max="8" min="8" style="72" width="13.15"/>
    <col collapsed="false" customWidth="true" hidden="false" outlineLevel="0" max="9" min="9" style="72" width="12.42"/>
    <col collapsed="false" customWidth="true" hidden="false" outlineLevel="0" max="10" min="10" style="72" width="11.85"/>
    <col collapsed="false" customWidth="true" hidden="false" outlineLevel="0" max="11" min="11" style="71" width="10.42"/>
    <col collapsed="false" customWidth="true" hidden="false" outlineLevel="0" max="12" min="12" style="71" width="12.29"/>
    <col collapsed="false" customWidth="true" hidden="false" outlineLevel="0" max="13" min="13" style="71" width="13.15"/>
    <col collapsed="false" customWidth="true" hidden="false" outlineLevel="0" max="14" min="14" style="71" width="18"/>
    <col collapsed="false" customWidth="true" hidden="false" outlineLevel="0" max="15" min="15" style="71" width="52.86"/>
    <col collapsed="false" customWidth="true" hidden="false" outlineLevel="0" max="16" min="16" style="71" width="19.42"/>
    <col collapsed="false" customWidth="true" hidden="false" outlineLevel="0" max="17" min="17" style="71" width="15.85"/>
    <col collapsed="false" customWidth="true" hidden="false" outlineLevel="0" max="18" min="18" style="73" width="15.85"/>
    <col collapsed="false" customWidth="true" hidden="false" outlineLevel="0" max="19" min="19" style="73" width="12.15"/>
    <col collapsed="false" customWidth="true" hidden="false" outlineLevel="0" max="20" min="20" style="73" width="12.71"/>
    <col collapsed="false" customWidth="true" hidden="false" outlineLevel="0" max="21" min="21" style="73" width="13.71"/>
    <col collapsed="false" customWidth="true" hidden="false" outlineLevel="0" max="22" min="22" style="73" width="13.29"/>
    <col collapsed="false" customWidth="true" hidden="false" outlineLevel="0" max="23" min="23" style="71" width="24"/>
    <col collapsed="false" customWidth="true" hidden="false" outlineLevel="0" max="25" min="24" style="71" width="9.14"/>
    <col collapsed="false" customWidth="true" hidden="false" outlineLevel="0" max="29" min="26" style="0" width="13"/>
    <col collapsed="false" customWidth="true" hidden="false" outlineLevel="0" max="33" min="30" style="0" width="14"/>
  </cols>
  <sheetData>
    <row r="2" s="80" customFormat="true" ht="33.75" hidden="false" customHeight="true" outlineLevel="0" collapsed="false">
      <c r="A2" s="74" t="s">
        <v>0</v>
      </c>
      <c r="B2" s="74" t="s">
        <v>1</v>
      </c>
      <c r="C2" s="74" t="s">
        <v>2</v>
      </c>
      <c r="D2" s="74" t="s">
        <v>3</v>
      </c>
      <c r="E2" s="74" t="s">
        <v>4</v>
      </c>
      <c r="F2" s="74" t="s">
        <v>5</v>
      </c>
      <c r="G2" s="74" t="s">
        <v>6</v>
      </c>
      <c r="H2" s="75" t="s">
        <v>7</v>
      </c>
      <c r="I2" s="75" t="s">
        <v>8</v>
      </c>
      <c r="J2" s="75" t="s">
        <v>9</v>
      </c>
      <c r="K2" s="74" t="s">
        <v>13</v>
      </c>
      <c r="L2" s="76" t="s">
        <v>14</v>
      </c>
      <c r="M2" s="74" t="s">
        <v>15</v>
      </c>
      <c r="N2" s="74" t="s">
        <v>16</v>
      </c>
      <c r="O2" s="74" t="s">
        <v>17</v>
      </c>
      <c r="P2" s="74" t="s">
        <v>18</v>
      </c>
      <c r="Q2" s="74" t="s">
        <v>19</v>
      </c>
      <c r="R2" s="77" t="s">
        <v>20</v>
      </c>
      <c r="S2" s="77" t="s">
        <v>21</v>
      </c>
      <c r="T2" s="77" t="s">
        <v>22</v>
      </c>
      <c r="U2" s="77" t="s">
        <v>23</v>
      </c>
      <c r="V2" s="77" t="s">
        <v>24</v>
      </c>
      <c r="W2" s="74" t="s">
        <v>25</v>
      </c>
      <c r="X2" s="74" t="s">
        <v>26</v>
      </c>
      <c r="Y2" s="74" t="s">
        <v>27</v>
      </c>
      <c r="Z2" s="78" t="s">
        <v>29</v>
      </c>
      <c r="AA2" s="78" t="s">
        <v>30</v>
      </c>
      <c r="AB2" s="78" t="s">
        <v>31</v>
      </c>
      <c r="AC2" s="14" t="s">
        <v>32</v>
      </c>
      <c r="AD2" s="15" t="s">
        <v>33</v>
      </c>
      <c r="AE2" s="15" t="s">
        <v>34</v>
      </c>
      <c r="AF2" s="15" t="s">
        <v>35</v>
      </c>
      <c r="AG2" s="15" t="s">
        <v>36</v>
      </c>
      <c r="AH2" s="79"/>
      <c r="AI2" s="79"/>
      <c r="AJ2" s="79"/>
      <c r="AK2" s="79"/>
      <c r="AL2" s="79"/>
      <c r="AM2" s="79"/>
      <c r="AN2" s="79"/>
      <c r="AO2" s="79"/>
      <c r="AP2" s="79"/>
    </row>
    <row r="3" s="83" customFormat="true" ht="15" hidden="false" customHeight="false" outlineLevel="0" collapsed="false">
      <c r="A3" s="31" t="n">
        <v>1</v>
      </c>
      <c r="B3" s="32" t="s">
        <v>356</v>
      </c>
      <c r="C3" s="32" t="s">
        <v>357</v>
      </c>
      <c r="D3" s="32" t="s">
        <v>358</v>
      </c>
      <c r="E3" s="32" t="s">
        <v>40</v>
      </c>
      <c r="F3" s="32" t="s">
        <v>41</v>
      </c>
      <c r="G3" s="32" t="s">
        <v>359</v>
      </c>
      <c r="H3" s="81" t="n">
        <v>46052</v>
      </c>
      <c r="I3" s="38" t="n">
        <v>46054</v>
      </c>
      <c r="J3" s="38" t="n">
        <v>46054</v>
      </c>
      <c r="K3" s="32" t="s">
        <v>360</v>
      </c>
      <c r="L3" s="32" t="s">
        <v>361</v>
      </c>
      <c r="M3" s="32" t="s">
        <v>362</v>
      </c>
      <c r="N3" s="32" t="s">
        <v>363</v>
      </c>
      <c r="O3" s="32" t="s">
        <v>364</v>
      </c>
      <c r="P3" s="37" t="n">
        <f aca="false">TRUE()</f>
        <v>1</v>
      </c>
      <c r="Q3" s="32" t="s">
        <v>126</v>
      </c>
      <c r="R3" s="34" t="n">
        <v>46055</v>
      </c>
      <c r="S3" s="34" t="n">
        <v>46054</v>
      </c>
      <c r="T3" s="34" t="n">
        <v>46052</v>
      </c>
      <c r="U3" s="34"/>
      <c r="V3" s="34"/>
      <c r="W3" s="32" t="s">
        <v>365</v>
      </c>
      <c r="X3" s="39" t="b">
        <f aca="false">TRUE()</f>
        <v>1</v>
      </c>
      <c r="Y3" s="39" t="b">
        <f aca="false">TRUE()</f>
        <v>1</v>
      </c>
      <c r="Z3" s="27" t="str">
        <f aca="false">IF(AC3="จบงานแล้ว","จบงานแล้ว",IF(J3="","In Transit",IF(J3&lt;=I3,"On Time","Delayed")))</f>
        <v>จบงานแล้ว</v>
      </c>
      <c r="AA3" s="26" t="str">
        <f aca="false">IFERROR(IF(AND(ISNUMBER(R3),ISNUMBER(U3)),U3-R3,""),"")</f>
        <v/>
      </c>
      <c r="AB3" s="26" t="n">
        <f aca="false">IF(AND(I3&lt;&gt;"",J3&lt;&gt;""),MAX(0,J3-I3),"")</f>
        <v>0</v>
      </c>
      <c r="AC3" s="27" t="str">
        <f aca="false">IF(OR(ISNUMBER(SEARCH("เคลียร์สินค้าและจัดส่งสินค้าแล้ว",W3)),ISNUMBER(SEARCH("เคลียร์สินค้าเรียบร้อย",W3)),ISNUMBER(SEARCH("เคลียร์สินค้าและจัดส่งแล้ว",W3)),ISNUMBER(SEARCH("จัดส่งสินค้าแล้ว",W3))), "จบงานแล้ว", "")</f>
        <v>จบงานแล้ว</v>
      </c>
      <c r="AD3" s="40"/>
      <c r="AE3" s="41"/>
      <c r="AF3" s="42"/>
      <c r="AG3" s="41"/>
      <c r="AH3" s="82"/>
      <c r="AI3" s="82"/>
      <c r="AJ3" s="82"/>
    </row>
    <row r="4" s="45" customFormat="true" ht="15" hidden="false" customHeight="false" outlineLevel="0" collapsed="false">
      <c r="A4" s="84" t="n">
        <v>2</v>
      </c>
      <c r="B4" s="85" t="s">
        <v>366</v>
      </c>
      <c r="C4" s="85" t="s">
        <v>367</v>
      </c>
      <c r="D4" s="85" t="s">
        <v>358</v>
      </c>
      <c r="E4" s="85" t="s">
        <v>40</v>
      </c>
      <c r="F4" s="85" t="s">
        <v>41</v>
      </c>
      <c r="G4" s="85" t="s">
        <v>71</v>
      </c>
      <c r="H4" s="86" t="n">
        <v>46055</v>
      </c>
      <c r="I4" s="87" t="n">
        <v>46062</v>
      </c>
      <c r="J4" s="87" t="n">
        <v>46062</v>
      </c>
      <c r="K4" s="85" t="s">
        <v>368</v>
      </c>
      <c r="L4" s="85" t="s">
        <v>369</v>
      </c>
      <c r="M4" s="85" t="s">
        <v>370</v>
      </c>
      <c r="N4" s="85" t="s">
        <v>371</v>
      </c>
      <c r="O4" s="85" t="s">
        <v>372</v>
      </c>
      <c r="P4" s="88" t="n">
        <f aca="false">TRUE()</f>
        <v>1</v>
      </c>
      <c r="Q4" s="85" t="s">
        <v>77</v>
      </c>
      <c r="R4" s="89" t="n">
        <v>46064</v>
      </c>
      <c r="S4" s="89" t="n">
        <v>46064</v>
      </c>
      <c r="T4" s="89" t="s">
        <v>43</v>
      </c>
      <c r="U4" s="89" t="n">
        <v>46067</v>
      </c>
      <c r="V4" s="89" t="n">
        <v>46067</v>
      </c>
      <c r="W4" s="85" t="s">
        <v>365</v>
      </c>
      <c r="X4" s="90" t="b">
        <f aca="false">TRUE()</f>
        <v>1</v>
      </c>
      <c r="Y4" s="90" t="b">
        <f aca="false">TRUE()</f>
        <v>1</v>
      </c>
      <c r="Z4" s="27" t="str">
        <f aca="false">IF(AC4="จบงานแล้ว","จบงานแล้ว",IF(J4="","In Transit",IF(J4&lt;=I4,"On Time","Delayed")))</f>
        <v>จบงานแล้ว</v>
      </c>
      <c r="AA4" s="26" t="n">
        <f aca="false">IFERROR(IF(AND(ISNUMBER(R4),ISNUMBER(U4)),U4-R4,""),"")</f>
        <v>3</v>
      </c>
      <c r="AB4" s="26" t="n">
        <f aca="false">IF(AND(I4&lt;&gt;"",J4&lt;&gt;""),MAX(0,J4-I4),"")</f>
        <v>0</v>
      </c>
      <c r="AC4" s="27" t="str">
        <f aca="false">IF(OR(ISNUMBER(SEARCH("เคลียร์สินค้าและจัดส่งสินค้าแล้ว",W4)),ISNUMBER(SEARCH("เคลียร์สินค้าเรียบร้อย",W4)),ISNUMBER(SEARCH("เคลียร์สินค้าและจัดส่งแล้ว",W4)),ISNUMBER(SEARCH("จัดส่งสินค้าแล้ว",W4))), "จบงานแล้ว", "")</f>
        <v>จบงานแล้ว</v>
      </c>
      <c r="AD4" s="28"/>
      <c r="AE4" s="29"/>
      <c r="AF4" s="30"/>
      <c r="AG4" s="29"/>
      <c r="AH4" s="91"/>
      <c r="AI4" s="91"/>
      <c r="AJ4" s="91"/>
      <c r="AK4" s="92"/>
    </row>
    <row r="5" s="45" customFormat="true" ht="15" hidden="false" customHeight="false" outlineLevel="0" collapsed="false">
      <c r="A5" s="31" t="n">
        <v>3</v>
      </c>
      <c r="B5" s="32" t="s">
        <v>366</v>
      </c>
      <c r="C5" s="32" t="s">
        <v>373</v>
      </c>
      <c r="D5" s="32" t="s">
        <v>374</v>
      </c>
      <c r="E5" s="32" t="s">
        <v>40</v>
      </c>
      <c r="F5" s="32" t="s">
        <v>41</v>
      </c>
      <c r="G5" s="32" t="s">
        <v>71</v>
      </c>
      <c r="H5" s="81" t="n">
        <v>46055</v>
      </c>
      <c r="I5" s="38" t="n">
        <v>46065</v>
      </c>
      <c r="J5" s="38" t="n">
        <v>46065</v>
      </c>
      <c r="K5" s="32" t="s">
        <v>179</v>
      </c>
      <c r="L5" s="32" t="s">
        <v>375</v>
      </c>
      <c r="M5" s="32" t="s">
        <v>376</v>
      </c>
      <c r="N5" s="32" t="s">
        <v>377</v>
      </c>
      <c r="O5" s="32" t="s">
        <v>378</v>
      </c>
      <c r="P5" s="37" t="n">
        <f aca="false">TRUE()</f>
        <v>1</v>
      </c>
      <c r="Q5" s="32" t="s">
        <v>77</v>
      </c>
      <c r="R5" s="34" t="n">
        <v>46065</v>
      </c>
      <c r="S5" s="34" t="n">
        <v>46065</v>
      </c>
      <c r="T5" s="34" t="s">
        <v>43</v>
      </c>
      <c r="U5" s="34" t="n">
        <v>46067</v>
      </c>
      <c r="V5" s="34" t="n">
        <v>46067</v>
      </c>
      <c r="W5" s="32" t="s">
        <v>365</v>
      </c>
      <c r="X5" s="39" t="b">
        <f aca="false">TRUE()</f>
        <v>1</v>
      </c>
      <c r="Y5" s="39" t="b">
        <f aca="false">TRUE()</f>
        <v>1</v>
      </c>
      <c r="Z5" s="93" t="str">
        <f aca="false">IF(AC5="จบงานแล้ว","จบงานแล้ว",IF(J5="","In Transit",IF(J5&lt;=I5,"On Time","Delayed")))</f>
        <v>จบงานแล้ว</v>
      </c>
      <c r="AA5" s="94" t="n">
        <f aca="false">IFERROR(IF(AND(ISNUMBER(R5),ISNUMBER(U5)),U5-R5,""),"")</f>
        <v>2</v>
      </c>
      <c r="AB5" s="94" t="n">
        <f aca="false">IF(AND(I5&lt;&gt;"",J5&lt;&gt;""),MAX(0,J5-I5),"")</f>
        <v>0</v>
      </c>
      <c r="AC5" s="27" t="str">
        <f aca="false">IF(OR(ISNUMBER(SEARCH("เคลียร์สินค้าและจัดส่งสินค้าแล้ว",W5)),ISNUMBER(SEARCH("เคลียร์สินค้าเรียบร้อย",W5)),ISNUMBER(SEARCH("เคลียร์สินค้าและจัดส่งแล้ว",W5)),ISNUMBER(SEARCH("จัดส่งสินค้าแล้ว",W5))), "จบงานแล้ว", "")</f>
        <v>จบงานแล้ว</v>
      </c>
      <c r="AD5" s="40"/>
      <c r="AE5" s="41"/>
      <c r="AF5" s="42"/>
      <c r="AG5" s="41"/>
      <c r="AH5" s="91"/>
      <c r="AI5" s="91"/>
      <c r="AJ5" s="91"/>
      <c r="AK5" s="92"/>
    </row>
    <row r="6" s="45" customFormat="true" ht="15" hidden="false" customHeight="false" outlineLevel="0" collapsed="false">
      <c r="A6" s="84" t="n">
        <v>4</v>
      </c>
      <c r="B6" s="85" t="s">
        <v>356</v>
      </c>
      <c r="C6" s="85" t="s">
        <v>379</v>
      </c>
      <c r="D6" s="85" t="s">
        <v>358</v>
      </c>
      <c r="E6" s="85" t="s">
        <v>40</v>
      </c>
      <c r="F6" s="85" t="s">
        <v>41</v>
      </c>
      <c r="G6" s="85" t="s">
        <v>359</v>
      </c>
      <c r="H6" s="86" t="n">
        <v>46058</v>
      </c>
      <c r="I6" s="87" t="n">
        <v>46059</v>
      </c>
      <c r="J6" s="87" t="n">
        <v>46059</v>
      </c>
      <c r="K6" s="85" t="s">
        <v>380</v>
      </c>
      <c r="L6" s="95" t="s">
        <v>361</v>
      </c>
      <c r="M6" s="85" t="s">
        <v>381</v>
      </c>
      <c r="N6" s="85" t="s">
        <v>363</v>
      </c>
      <c r="O6" s="85" t="s">
        <v>382</v>
      </c>
      <c r="P6" s="88" t="n">
        <f aca="false">TRUE()</f>
        <v>1</v>
      </c>
      <c r="Q6" s="85" t="s">
        <v>77</v>
      </c>
      <c r="R6" s="89" t="n">
        <v>46059</v>
      </c>
      <c r="S6" s="89" t="n">
        <v>46059</v>
      </c>
      <c r="T6" s="89" t="s">
        <v>43</v>
      </c>
      <c r="U6" s="89" t="n">
        <v>46063</v>
      </c>
      <c r="V6" s="89" t="n">
        <v>46063</v>
      </c>
      <c r="W6" s="85" t="s">
        <v>365</v>
      </c>
      <c r="X6" s="90" t="b">
        <f aca="false">TRUE()</f>
        <v>1</v>
      </c>
      <c r="Y6" s="90" t="b">
        <f aca="false">TRUE()</f>
        <v>1</v>
      </c>
      <c r="Z6" s="27" t="str">
        <f aca="false">IF(AC6="จบงานแล้ว","จบงานแล้ว",IF(J6="","In Transit",IF(J6&lt;=I6,"On Time","Delayed")))</f>
        <v>จบงานแล้ว</v>
      </c>
      <c r="AA6" s="26" t="n">
        <f aca="false">IFERROR(IF(AND(ISNUMBER(R6),ISNUMBER(U6)),U6-R6,""),"")</f>
        <v>4</v>
      </c>
      <c r="AB6" s="26" t="n">
        <f aca="false">IF(AND(I6&lt;&gt;"",J6&lt;&gt;""),MAX(0,J6-I6),"")</f>
        <v>0</v>
      </c>
      <c r="AC6" s="27" t="str">
        <f aca="false">IF(OR(ISNUMBER(SEARCH("เคลียร์สินค้าและจัดส่งสินค้าแล้ว",W6)),ISNUMBER(SEARCH("เคลียร์สินค้าเรียบร้อย",W6)),ISNUMBER(SEARCH("เคลียร์สินค้าและจัดส่งแล้ว",W6)),ISNUMBER(SEARCH("จัดส่งสินค้าแล้ว",W6))), "จบงานแล้ว", "")</f>
        <v>จบงานแล้ว</v>
      </c>
      <c r="AD6" s="28"/>
      <c r="AE6" s="29"/>
      <c r="AF6" s="30"/>
      <c r="AG6" s="29"/>
      <c r="AH6" s="91"/>
      <c r="AI6" s="91"/>
      <c r="AJ6" s="91"/>
      <c r="AK6" s="92"/>
    </row>
    <row r="7" s="45" customFormat="true" ht="15" hidden="false" customHeight="false" outlineLevel="0" collapsed="false">
      <c r="A7" s="31" t="n">
        <v>5</v>
      </c>
      <c r="B7" s="32" t="s">
        <v>383</v>
      </c>
      <c r="C7" s="32" t="s">
        <v>384</v>
      </c>
      <c r="D7" s="32" t="s">
        <v>358</v>
      </c>
      <c r="E7" s="32" t="s">
        <v>40</v>
      </c>
      <c r="F7" s="32" t="s">
        <v>385</v>
      </c>
      <c r="G7" s="32" t="s">
        <v>386</v>
      </c>
      <c r="H7" s="81" t="n">
        <v>46056</v>
      </c>
      <c r="I7" s="38" t="n">
        <v>46057</v>
      </c>
      <c r="J7" s="38" t="n">
        <v>46057</v>
      </c>
      <c r="K7" s="32" t="s">
        <v>45</v>
      </c>
      <c r="L7" s="32" t="s">
        <v>387</v>
      </c>
      <c r="M7" s="32" t="s">
        <v>388</v>
      </c>
      <c r="N7" s="32" t="s">
        <v>389</v>
      </c>
      <c r="O7" s="32" t="s">
        <v>390</v>
      </c>
      <c r="P7" s="37" t="n">
        <f aca="false">TRUE()</f>
        <v>1</v>
      </c>
      <c r="Q7" s="32" t="s">
        <v>126</v>
      </c>
      <c r="R7" s="34" t="n">
        <v>46058</v>
      </c>
      <c r="S7" s="34" t="n">
        <v>46058</v>
      </c>
      <c r="T7" s="34" t="s">
        <v>43</v>
      </c>
      <c r="U7" s="34" t="n">
        <v>46059</v>
      </c>
      <c r="V7" s="34" t="n">
        <v>46059</v>
      </c>
      <c r="W7" s="32" t="s">
        <v>365</v>
      </c>
      <c r="X7" s="39" t="b">
        <f aca="false">TRUE()</f>
        <v>1</v>
      </c>
      <c r="Y7" s="39" t="b">
        <f aca="false">TRUE()</f>
        <v>1</v>
      </c>
      <c r="Z7" s="27" t="str">
        <f aca="false">IF(AC7="จบงานแล้ว","จบงานแล้ว",IF(J7="","In Transit",IF(J7&lt;=I7,"On Time","Delayed")))</f>
        <v>จบงานแล้ว</v>
      </c>
      <c r="AA7" s="26" t="n">
        <f aca="false">IFERROR(IF(AND(ISNUMBER(R7),ISNUMBER(U7)),U7-R7,""),"")</f>
        <v>1</v>
      </c>
      <c r="AB7" s="26" t="n">
        <f aca="false">IF(AND(I7&lt;&gt;"",J7&lt;&gt;""),MAX(0,J7-I7),"")</f>
        <v>0</v>
      </c>
      <c r="AC7" s="27" t="str">
        <f aca="false">IF(OR(ISNUMBER(SEARCH("เคลียร์สินค้าและจัดส่งสินค้าแล้ว",W7)),ISNUMBER(SEARCH("เคลียร์สินค้าเรียบร้อย",W7)),ISNUMBER(SEARCH("เคลียร์สินค้าและจัดส่งแล้ว",W7)),ISNUMBER(SEARCH("จัดส่งสินค้าแล้ว",W7))), "จบงานแล้ว", "")</f>
        <v>จบงานแล้ว</v>
      </c>
      <c r="AD7" s="40"/>
      <c r="AE7" s="41"/>
      <c r="AF7" s="42"/>
      <c r="AG7" s="41"/>
      <c r="AH7" s="91"/>
      <c r="AI7" s="91"/>
      <c r="AJ7" s="91"/>
      <c r="AK7" s="92"/>
    </row>
    <row r="8" s="45" customFormat="true" ht="15" hidden="false" customHeight="false" outlineLevel="0" collapsed="false">
      <c r="A8" s="84" t="n">
        <v>6</v>
      </c>
      <c r="B8" s="85" t="s">
        <v>366</v>
      </c>
      <c r="C8" s="85" t="s">
        <v>87</v>
      </c>
      <c r="D8" s="85" t="s">
        <v>358</v>
      </c>
      <c r="E8" s="85" t="s">
        <v>40</v>
      </c>
      <c r="F8" s="85" t="s">
        <v>41</v>
      </c>
      <c r="G8" s="85" t="s">
        <v>71</v>
      </c>
      <c r="H8" s="86" t="s">
        <v>43</v>
      </c>
      <c r="I8" s="87" t="n">
        <v>46059</v>
      </c>
      <c r="J8" s="87" t="n">
        <v>46059</v>
      </c>
      <c r="K8" s="85" t="s">
        <v>391</v>
      </c>
      <c r="L8" s="85" t="s">
        <v>392</v>
      </c>
      <c r="M8" s="85" t="s">
        <v>393</v>
      </c>
      <c r="N8" s="85" t="s">
        <v>394</v>
      </c>
      <c r="O8" s="85" t="s">
        <v>395</v>
      </c>
      <c r="P8" s="88" t="n">
        <f aca="false">TRUE()</f>
        <v>1</v>
      </c>
      <c r="Q8" s="85" t="s">
        <v>77</v>
      </c>
      <c r="R8" s="89" t="n">
        <v>46062</v>
      </c>
      <c r="S8" s="89" t="n">
        <v>46062</v>
      </c>
      <c r="T8" s="89" t="s">
        <v>43</v>
      </c>
      <c r="U8" s="89" t="n">
        <v>46064</v>
      </c>
      <c r="V8" s="89" t="n">
        <v>46064</v>
      </c>
      <c r="W8" s="85" t="s">
        <v>365</v>
      </c>
      <c r="X8" s="90" t="b">
        <f aca="false">TRUE()</f>
        <v>1</v>
      </c>
      <c r="Y8" s="90" t="b">
        <f aca="false">TRUE()</f>
        <v>1</v>
      </c>
      <c r="Z8" s="27" t="str">
        <f aca="false">IF(AC8="จบงานแล้ว","จบงานแล้ว",IF(J8="","In Transit",IF(J8&lt;=I8,"On Time","Delayed")))</f>
        <v>จบงานแล้ว</v>
      </c>
      <c r="AA8" s="26" t="n">
        <f aca="false">IFERROR(IF(AND(ISNUMBER(R8),ISNUMBER(U8)),U8-R8,""),"")</f>
        <v>2</v>
      </c>
      <c r="AB8" s="26" t="n">
        <f aca="false">IF(AND(I8&lt;&gt;"",J8&lt;&gt;""),MAX(0,J8-I8),"")</f>
        <v>0</v>
      </c>
      <c r="AC8" s="27" t="str">
        <f aca="false">IF(OR(ISNUMBER(SEARCH("เคลียร์สินค้าและจัดส่งสินค้าแล้ว",W8)),ISNUMBER(SEARCH("เคลียร์สินค้าเรียบร้อย",W8)),ISNUMBER(SEARCH("เคลียร์สินค้าและจัดส่งแล้ว",W8)),ISNUMBER(SEARCH("จัดส่งสินค้าแล้ว",W8))), "จบงานแล้ว", "")</f>
        <v>จบงานแล้ว</v>
      </c>
      <c r="AD8" s="28"/>
      <c r="AE8" s="29"/>
      <c r="AF8" s="30"/>
      <c r="AG8" s="29"/>
      <c r="AH8" s="91"/>
      <c r="AI8" s="91"/>
      <c r="AJ8" s="91"/>
      <c r="AK8" s="92"/>
    </row>
    <row r="9" s="45" customFormat="true" ht="15" hidden="false" customHeight="false" outlineLevel="0" collapsed="false">
      <c r="A9" s="31" t="n">
        <v>7</v>
      </c>
      <c r="B9" s="32" t="s">
        <v>356</v>
      </c>
      <c r="C9" s="32" t="s">
        <v>396</v>
      </c>
      <c r="D9" s="32" t="s">
        <v>397</v>
      </c>
      <c r="E9" s="32" t="s">
        <v>40</v>
      </c>
      <c r="F9" s="32" t="s">
        <v>41</v>
      </c>
      <c r="G9" s="32" t="s">
        <v>71</v>
      </c>
      <c r="H9" s="81" t="n">
        <v>46058</v>
      </c>
      <c r="I9" s="38" t="n">
        <v>46060</v>
      </c>
      <c r="J9" s="38" t="n">
        <v>46061</v>
      </c>
      <c r="K9" s="32" t="s">
        <v>398</v>
      </c>
      <c r="L9" s="32" t="s">
        <v>399</v>
      </c>
      <c r="M9" s="32" t="s">
        <v>400</v>
      </c>
      <c r="N9" s="32" t="s">
        <v>401</v>
      </c>
      <c r="O9" s="32" t="s">
        <v>402</v>
      </c>
      <c r="P9" s="37" t="n">
        <f aca="false">TRUE()</f>
        <v>1</v>
      </c>
      <c r="Q9" s="32" t="s">
        <v>77</v>
      </c>
      <c r="R9" s="34" t="n">
        <v>46059</v>
      </c>
      <c r="S9" s="34" t="n">
        <v>46059</v>
      </c>
      <c r="T9" s="34" t="s">
        <v>43</v>
      </c>
      <c r="U9" s="34" t="n">
        <v>46062</v>
      </c>
      <c r="V9" s="34" t="n">
        <v>46063</v>
      </c>
      <c r="W9" s="32" t="s">
        <v>365</v>
      </c>
      <c r="X9" s="39" t="b">
        <f aca="false">TRUE()</f>
        <v>1</v>
      </c>
      <c r="Y9" s="39" t="b">
        <f aca="false">TRUE()</f>
        <v>1</v>
      </c>
      <c r="Z9" s="27" t="str">
        <f aca="false">IF(AC9="จบงานแล้ว","จบงานแล้ว",IF(J9="","In Transit",IF(J9&lt;=I9,"On Time","Delayed")))</f>
        <v>จบงานแล้ว</v>
      </c>
      <c r="AA9" s="26" t="n">
        <f aca="false">IFERROR(IF(AND(ISNUMBER(R9),ISNUMBER(U9)),U9-R9,""),"")</f>
        <v>3</v>
      </c>
      <c r="AB9" s="26" t="n">
        <f aca="false">IF(AND(I9&lt;&gt;"",J9&lt;&gt;""),MAX(0,J9-I9),"")</f>
        <v>1</v>
      </c>
      <c r="AC9" s="27" t="str">
        <f aca="false">IF(OR(ISNUMBER(SEARCH("เคลียร์สินค้าและจัดส่งสินค้าแล้ว",W9)),ISNUMBER(SEARCH("เคลียร์สินค้าเรียบร้อย",W9)),ISNUMBER(SEARCH("เคลียร์สินค้าและจัดส่งแล้ว",W9)),ISNUMBER(SEARCH("จัดส่งสินค้าแล้ว",W9))), "จบงานแล้ว", "")</f>
        <v>จบงานแล้ว</v>
      </c>
      <c r="AD9" s="40"/>
      <c r="AE9" s="41"/>
      <c r="AF9" s="42"/>
      <c r="AG9" s="41"/>
      <c r="AH9" s="91"/>
      <c r="AI9" s="91"/>
      <c r="AJ9" s="91"/>
      <c r="AK9" s="92"/>
    </row>
    <row r="10" s="45" customFormat="true" ht="15" hidden="false" customHeight="false" outlineLevel="0" collapsed="false">
      <c r="A10" s="84" t="n">
        <v>8</v>
      </c>
      <c r="B10" s="85" t="s">
        <v>356</v>
      </c>
      <c r="C10" s="85" t="s">
        <v>403</v>
      </c>
      <c r="D10" s="85" t="s">
        <v>404</v>
      </c>
      <c r="E10" s="85" t="s">
        <v>40</v>
      </c>
      <c r="F10" s="85" t="s">
        <v>41</v>
      </c>
      <c r="G10" s="85" t="s">
        <v>405</v>
      </c>
      <c r="H10" s="86" t="n">
        <v>46032</v>
      </c>
      <c r="I10" s="87" t="n">
        <v>46065</v>
      </c>
      <c r="J10" s="87" t="n">
        <v>46065</v>
      </c>
      <c r="K10" s="85" t="s">
        <v>406</v>
      </c>
      <c r="L10" s="85" t="s">
        <v>407</v>
      </c>
      <c r="M10" s="85" t="s">
        <v>408</v>
      </c>
      <c r="N10" s="85" t="s">
        <v>409</v>
      </c>
      <c r="O10" s="85" t="s">
        <v>410</v>
      </c>
      <c r="P10" s="88" t="n">
        <f aca="false">TRUE()</f>
        <v>1</v>
      </c>
      <c r="Q10" s="85" t="s">
        <v>77</v>
      </c>
      <c r="R10" s="89" t="n">
        <v>46064</v>
      </c>
      <c r="S10" s="89" t="n">
        <v>46064</v>
      </c>
      <c r="T10" s="89" t="n">
        <v>46064</v>
      </c>
      <c r="U10" s="89" t="n">
        <v>46070</v>
      </c>
      <c r="V10" s="89" t="n">
        <v>46070</v>
      </c>
      <c r="W10" s="85" t="s">
        <v>365</v>
      </c>
      <c r="X10" s="90" t="b">
        <f aca="false">TRUE()</f>
        <v>1</v>
      </c>
      <c r="Y10" s="90" t="b">
        <f aca="false">TRUE()</f>
        <v>1</v>
      </c>
      <c r="Z10" s="27" t="str">
        <f aca="false">IF(AC10="จบงานแล้ว","จบงานแล้ว",IF(J10="","In Transit",IF(J10&lt;=I10,"On Time","Delayed")))</f>
        <v>จบงานแล้ว</v>
      </c>
      <c r="AA10" s="26" t="n">
        <f aca="false">IFERROR(IF(AND(ISNUMBER(R10),ISNUMBER(U10)),U10-R10,""),"")</f>
        <v>6</v>
      </c>
      <c r="AB10" s="26" t="n">
        <f aca="false">IF(AND(I10&lt;&gt;"",J10&lt;&gt;""),MAX(0,J10-I10),"")</f>
        <v>0</v>
      </c>
      <c r="AC10" s="27" t="str">
        <f aca="false">IF(OR(ISNUMBER(SEARCH("เคลียร์สินค้าและจัดส่งสินค้าแล้ว",W10)),ISNUMBER(SEARCH("เคลียร์สินค้าเรียบร้อย",W10)),ISNUMBER(SEARCH("เคลียร์สินค้าและจัดส่งแล้ว",W10)),ISNUMBER(SEARCH("จัดส่งสินค้าแล้ว",W10))), "จบงานแล้ว", "")</f>
        <v>จบงานแล้ว</v>
      </c>
      <c r="AD10" s="28"/>
      <c r="AE10" s="29"/>
      <c r="AF10" s="30"/>
      <c r="AG10" s="29"/>
      <c r="AH10" s="91"/>
      <c r="AI10" s="91"/>
      <c r="AJ10" s="91"/>
      <c r="AK10" s="92"/>
    </row>
    <row r="11" s="45" customFormat="true" ht="15" hidden="false" customHeight="false" outlineLevel="0" collapsed="false">
      <c r="A11" s="31" t="n">
        <v>9</v>
      </c>
      <c r="B11" s="32" t="s">
        <v>356</v>
      </c>
      <c r="C11" s="32" t="s">
        <v>403</v>
      </c>
      <c r="D11" s="32" t="s">
        <v>404</v>
      </c>
      <c r="E11" s="32" t="s">
        <v>40</v>
      </c>
      <c r="F11" s="32" t="s">
        <v>41</v>
      </c>
      <c r="G11" s="32" t="s">
        <v>405</v>
      </c>
      <c r="H11" s="81" t="n">
        <v>46032</v>
      </c>
      <c r="I11" s="38" t="n">
        <v>46065</v>
      </c>
      <c r="J11" s="38" t="n">
        <v>46065</v>
      </c>
      <c r="K11" s="32" t="s">
        <v>406</v>
      </c>
      <c r="L11" s="32" t="s">
        <v>375</v>
      </c>
      <c r="M11" s="32" t="s">
        <v>411</v>
      </c>
      <c r="N11" s="32" t="s">
        <v>409</v>
      </c>
      <c r="O11" s="32" t="s">
        <v>412</v>
      </c>
      <c r="P11" s="37" t="n">
        <f aca="false">TRUE()</f>
        <v>1</v>
      </c>
      <c r="Q11" s="32" t="s">
        <v>126</v>
      </c>
      <c r="R11" s="34" t="n">
        <v>46064</v>
      </c>
      <c r="S11" s="34" t="n">
        <v>46064</v>
      </c>
      <c r="T11" s="34" t="n">
        <v>46064</v>
      </c>
      <c r="U11" s="34" t="n">
        <v>46066</v>
      </c>
      <c r="V11" s="34" t="n">
        <v>46066</v>
      </c>
      <c r="W11" s="32" t="s">
        <v>365</v>
      </c>
      <c r="X11" s="39" t="b">
        <f aca="false">TRUE()</f>
        <v>1</v>
      </c>
      <c r="Y11" s="39" t="b">
        <f aca="false">TRUE()</f>
        <v>1</v>
      </c>
      <c r="Z11" s="27" t="str">
        <f aca="false">IF(AC11="จบงานแล้ว","จบงานแล้ว",IF(J11="","In Transit",IF(J11&lt;=I11,"On Time","Delayed")))</f>
        <v>จบงานแล้ว</v>
      </c>
      <c r="AA11" s="26" t="n">
        <f aca="false">IFERROR(IF(AND(ISNUMBER(R11),ISNUMBER(U11)),U11-R11,""),"")</f>
        <v>2</v>
      </c>
      <c r="AB11" s="26" t="n">
        <f aca="false">IF(AND(I11&lt;&gt;"",J11&lt;&gt;""),MAX(0,J11-I11),"")</f>
        <v>0</v>
      </c>
      <c r="AC11" s="27" t="str">
        <f aca="false">IF(OR(ISNUMBER(SEARCH("เคลียร์สินค้าและจัดส่งสินค้าแล้ว",W11)),ISNUMBER(SEARCH("เคลียร์สินค้าเรียบร้อย",W11)),ISNUMBER(SEARCH("เคลียร์สินค้าและจัดส่งแล้ว",W11)),ISNUMBER(SEARCH("จัดส่งสินค้าแล้ว",W11))), "จบงานแล้ว", "")</f>
        <v>จบงานแล้ว</v>
      </c>
      <c r="AD11" s="40"/>
      <c r="AE11" s="41"/>
      <c r="AF11" s="42"/>
      <c r="AG11" s="41"/>
      <c r="AH11" s="91"/>
      <c r="AI11" s="91"/>
      <c r="AJ11" s="91"/>
      <c r="AK11" s="92"/>
    </row>
    <row r="12" s="45" customFormat="true" ht="15" hidden="false" customHeight="false" outlineLevel="0" collapsed="false">
      <c r="A12" s="84" t="n">
        <v>10</v>
      </c>
      <c r="B12" s="85" t="s">
        <v>356</v>
      </c>
      <c r="C12" s="85" t="s">
        <v>403</v>
      </c>
      <c r="D12" s="85" t="s">
        <v>404</v>
      </c>
      <c r="E12" s="85" t="s">
        <v>40</v>
      </c>
      <c r="F12" s="85" t="s">
        <v>41</v>
      </c>
      <c r="G12" s="85" t="s">
        <v>405</v>
      </c>
      <c r="H12" s="86" t="n">
        <v>46032</v>
      </c>
      <c r="I12" s="87" t="n">
        <v>46065</v>
      </c>
      <c r="J12" s="87" t="n">
        <v>46065</v>
      </c>
      <c r="K12" s="85" t="s">
        <v>406</v>
      </c>
      <c r="L12" s="85" t="s">
        <v>413</v>
      </c>
      <c r="M12" s="85" t="s">
        <v>414</v>
      </c>
      <c r="N12" s="85" t="s">
        <v>409</v>
      </c>
      <c r="O12" s="85" t="s">
        <v>415</v>
      </c>
      <c r="P12" s="88" t="n">
        <f aca="false">TRUE()</f>
        <v>1</v>
      </c>
      <c r="Q12" s="85" t="s">
        <v>50</v>
      </c>
      <c r="R12" s="89" t="n">
        <v>46064</v>
      </c>
      <c r="S12" s="89" t="n">
        <v>46064</v>
      </c>
      <c r="T12" s="89" t="n">
        <v>46064</v>
      </c>
      <c r="U12" s="89" t="n">
        <v>46066</v>
      </c>
      <c r="V12" s="89" t="n">
        <v>46066</v>
      </c>
      <c r="W12" s="85" t="s">
        <v>416</v>
      </c>
      <c r="X12" s="90" t="b">
        <f aca="false">TRUE()</f>
        <v>1</v>
      </c>
      <c r="Y12" s="90" t="b">
        <f aca="false">TRUE()</f>
        <v>1</v>
      </c>
      <c r="Z12" s="27" t="str">
        <f aca="false">IF(AC12="จบงานแล้ว","จบงานแล้ว",IF(J12="","In Transit",IF(J12&lt;=I12,"On Time","Delayed")))</f>
        <v>On Time</v>
      </c>
      <c r="AA12" s="26" t="n">
        <f aca="false">IFERROR(IF(AND(ISNUMBER(R12),ISNUMBER(U12)),U12-R12,""),"")</f>
        <v>2</v>
      </c>
      <c r="AB12" s="26" t="n">
        <f aca="false">IF(AND(I12&lt;&gt;"",J12&lt;&gt;""),MAX(0,J12-I12),"")</f>
        <v>0</v>
      </c>
      <c r="AC12" s="27" t="str">
        <f aca="false">IF(OR(ISNUMBER(SEARCH("เคลียร์สินค้าและจัดส่งสินค้าแล้ว",W12)),ISNUMBER(SEARCH("เคลียร์สินค้าเรียบร้อย",W12)),ISNUMBER(SEARCH("เคลียร์สินค้าและจัดส่งแล้ว",W12)),ISNUMBER(SEARCH("จัดส่งสินค้าแล้ว",W12))), "จบงานแล้ว", "")</f>
        <v/>
      </c>
      <c r="AD12" s="28"/>
      <c r="AE12" s="29"/>
      <c r="AF12" s="30"/>
      <c r="AG12" s="29"/>
      <c r="AH12" s="91"/>
      <c r="AI12" s="91"/>
      <c r="AJ12" s="91"/>
      <c r="AK12" s="92"/>
    </row>
    <row r="13" s="45" customFormat="true" ht="15" hidden="false" customHeight="false" outlineLevel="0" collapsed="false">
      <c r="A13" s="31" t="n">
        <v>11</v>
      </c>
      <c r="B13" s="32" t="s">
        <v>356</v>
      </c>
      <c r="C13" s="32" t="s">
        <v>403</v>
      </c>
      <c r="D13" s="32" t="s">
        <v>404</v>
      </c>
      <c r="E13" s="32" t="s">
        <v>40</v>
      </c>
      <c r="F13" s="32" t="s">
        <v>41</v>
      </c>
      <c r="G13" s="32" t="s">
        <v>405</v>
      </c>
      <c r="H13" s="81" t="n">
        <v>46032</v>
      </c>
      <c r="I13" s="38" t="n">
        <v>46065</v>
      </c>
      <c r="J13" s="38" t="n">
        <v>46065</v>
      </c>
      <c r="K13" s="32" t="s">
        <v>406</v>
      </c>
      <c r="L13" s="32" t="s">
        <v>417</v>
      </c>
      <c r="M13" s="32" t="s">
        <v>418</v>
      </c>
      <c r="N13" s="32" t="s">
        <v>409</v>
      </c>
      <c r="O13" s="32" t="s">
        <v>419</v>
      </c>
      <c r="P13" s="37" t="n">
        <f aca="false">TRUE()</f>
        <v>1</v>
      </c>
      <c r="Q13" s="32" t="s">
        <v>126</v>
      </c>
      <c r="R13" s="34" t="n">
        <v>46064</v>
      </c>
      <c r="S13" s="34" t="n">
        <v>46064</v>
      </c>
      <c r="T13" s="34" t="n">
        <v>46064</v>
      </c>
      <c r="U13" s="34" t="n">
        <v>46066</v>
      </c>
      <c r="V13" s="34" t="n">
        <v>46066</v>
      </c>
      <c r="W13" s="32" t="s">
        <v>365</v>
      </c>
      <c r="X13" s="39" t="b">
        <f aca="false">TRUE()</f>
        <v>1</v>
      </c>
      <c r="Y13" s="39" t="b">
        <f aca="false">TRUE()</f>
        <v>1</v>
      </c>
      <c r="Z13" s="27" t="str">
        <f aca="false">IF(AC13="จบงานแล้ว","จบงานแล้ว",IF(J13="","In Transit",IF(J13&lt;=I13,"On Time","Delayed")))</f>
        <v>จบงานแล้ว</v>
      </c>
      <c r="AA13" s="26" t="n">
        <f aca="false">IFERROR(IF(AND(ISNUMBER(R13),ISNUMBER(U13)),U13-R13,""),"")</f>
        <v>2</v>
      </c>
      <c r="AB13" s="26" t="n">
        <f aca="false">IF(AND(I13&lt;&gt;"",J13&lt;&gt;""),MAX(0,J13-I13),"")</f>
        <v>0</v>
      </c>
      <c r="AC13" s="27" t="str">
        <f aca="false">IF(OR(ISNUMBER(SEARCH("เคลียร์สินค้าและจัดส่งสินค้าแล้ว",W13)),ISNUMBER(SEARCH("เคลียร์สินค้าเรียบร้อย",W13)),ISNUMBER(SEARCH("เคลียร์สินค้าและจัดส่งแล้ว",W13)),ISNUMBER(SEARCH("จัดส่งสินค้าแล้ว",W13))), "จบงานแล้ว", "")</f>
        <v>จบงานแล้ว</v>
      </c>
      <c r="AD13" s="40"/>
      <c r="AE13" s="41"/>
      <c r="AF13" s="42"/>
      <c r="AG13" s="41"/>
      <c r="AH13" s="91"/>
      <c r="AI13" s="91"/>
      <c r="AJ13" s="91"/>
      <c r="AK13" s="92"/>
    </row>
    <row r="14" s="45" customFormat="true" ht="15" hidden="false" customHeight="false" outlineLevel="0" collapsed="false">
      <c r="A14" s="84" t="n">
        <v>12</v>
      </c>
      <c r="B14" s="85" t="s">
        <v>356</v>
      </c>
      <c r="C14" s="85" t="s">
        <v>403</v>
      </c>
      <c r="D14" s="85" t="s">
        <v>404</v>
      </c>
      <c r="E14" s="85" t="s">
        <v>40</v>
      </c>
      <c r="F14" s="85" t="s">
        <v>385</v>
      </c>
      <c r="G14" s="85" t="s">
        <v>405</v>
      </c>
      <c r="H14" s="86" t="n">
        <v>46065</v>
      </c>
      <c r="I14" s="87" t="n">
        <v>46066</v>
      </c>
      <c r="J14" s="87" t="n">
        <v>46066</v>
      </c>
      <c r="K14" s="85" t="s">
        <v>406</v>
      </c>
      <c r="L14" s="85" t="s">
        <v>420</v>
      </c>
      <c r="M14" s="85" t="s">
        <v>421</v>
      </c>
      <c r="N14" s="85" t="s">
        <v>422</v>
      </c>
      <c r="O14" s="85" t="s">
        <v>423</v>
      </c>
      <c r="P14" s="88" t="n">
        <f aca="false">TRUE()</f>
        <v>1</v>
      </c>
      <c r="Q14" s="85" t="s">
        <v>424</v>
      </c>
      <c r="R14" s="89" t="n">
        <v>46065</v>
      </c>
      <c r="S14" s="89" t="n">
        <v>46065</v>
      </c>
      <c r="T14" s="89" t="n">
        <v>46065</v>
      </c>
      <c r="U14" s="89" t="n">
        <v>46069</v>
      </c>
      <c r="V14" s="89" t="n">
        <v>46069</v>
      </c>
      <c r="W14" s="85" t="s">
        <v>365</v>
      </c>
      <c r="X14" s="90" t="b">
        <f aca="false">FALSE()</f>
        <v>0</v>
      </c>
      <c r="Y14" s="90" t="b">
        <f aca="false">TRUE()</f>
        <v>1</v>
      </c>
      <c r="Z14" s="27" t="str">
        <f aca="false">IF(AC14="จบงานแล้ว","จบงานแล้ว",IF(J14="","In Transit",IF(J14&lt;=I14,"On Time","Delayed")))</f>
        <v>จบงานแล้ว</v>
      </c>
      <c r="AA14" s="26" t="n">
        <f aca="false">IFERROR(IF(AND(ISNUMBER(R14),ISNUMBER(U14)),U14-R14,""),"")</f>
        <v>4</v>
      </c>
      <c r="AB14" s="26" t="n">
        <f aca="false">IF(AND(I14&lt;&gt;"",J14&lt;&gt;""),MAX(0,J14-I14),"")</f>
        <v>0</v>
      </c>
      <c r="AC14" s="27" t="str">
        <f aca="false">IF(OR(ISNUMBER(SEARCH("เคลียร์สินค้าและจัดส่งสินค้าแล้ว",W14)),ISNUMBER(SEARCH("เคลียร์สินค้าเรียบร้อย",W14)),ISNUMBER(SEARCH("เคลียร์สินค้าและจัดส่งแล้ว",W14)),ISNUMBER(SEARCH("จัดส่งสินค้าแล้ว",W14))), "จบงานแล้ว", "")</f>
        <v>จบงานแล้ว</v>
      </c>
      <c r="AD14" s="28"/>
      <c r="AE14" s="29"/>
      <c r="AF14" s="30"/>
      <c r="AG14" s="29"/>
      <c r="AH14" s="91"/>
      <c r="AI14" s="91"/>
      <c r="AJ14" s="91"/>
      <c r="AK14" s="92"/>
    </row>
    <row r="15" s="45" customFormat="true" ht="15" hidden="false" customHeight="false" outlineLevel="0" collapsed="false">
      <c r="A15" s="96"/>
      <c r="B15" s="96"/>
      <c r="C15" s="96"/>
      <c r="D15" s="96"/>
      <c r="E15" s="97"/>
      <c r="F15" s="96"/>
      <c r="G15" s="96"/>
      <c r="H15" s="98"/>
      <c r="I15" s="98"/>
      <c r="J15" s="98"/>
      <c r="K15" s="96"/>
      <c r="L15" s="96"/>
      <c r="M15" s="96"/>
      <c r="N15" s="96"/>
      <c r="O15" s="96"/>
      <c r="P15" s="99" t="n">
        <f aca="false">FALSE()</f>
        <v>0</v>
      </c>
      <c r="Q15" s="96"/>
      <c r="R15" s="100"/>
      <c r="S15" s="100"/>
      <c r="T15" s="100"/>
      <c r="U15" s="100"/>
      <c r="V15" s="100"/>
      <c r="W15" s="96"/>
      <c r="X15" s="101" t="b">
        <f aca="false">FALSE()</f>
        <v>0</v>
      </c>
      <c r="Y15" s="101" t="b">
        <f aca="false">FALSE()</f>
        <v>0</v>
      </c>
      <c r="Z15" s="102"/>
      <c r="AA15" s="103"/>
      <c r="AB15" s="103"/>
      <c r="AC15" s="103"/>
      <c r="AD15" s="103"/>
      <c r="AE15" s="103"/>
      <c r="AF15" s="104"/>
      <c r="AG15" s="91"/>
      <c r="AH15" s="91"/>
      <c r="AI15" s="91"/>
      <c r="AJ15" s="91"/>
      <c r="AK15" s="92"/>
    </row>
    <row r="16" s="45" customFormat="true" ht="21.75" hidden="false" customHeight="true" outlineLevel="0" collapsed="false">
      <c r="A16" s="105" t="s">
        <v>425</v>
      </c>
      <c r="B16" s="105"/>
      <c r="C16" s="105"/>
      <c r="D16" s="105"/>
      <c r="E16" s="105"/>
      <c r="F16" s="105"/>
      <c r="G16" s="105"/>
      <c r="H16" s="105"/>
      <c r="I16" s="98"/>
      <c r="J16" s="98"/>
      <c r="K16" s="96"/>
      <c r="L16" s="96"/>
      <c r="M16" s="96"/>
      <c r="N16" s="96"/>
      <c r="O16" s="96"/>
      <c r="P16" s="99" t="n">
        <f aca="false">FALSE()</f>
        <v>0</v>
      </c>
      <c r="Q16" s="96"/>
      <c r="R16" s="100"/>
      <c r="S16" s="100"/>
      <c r="T16" s="100"/>
      <c r="U16" s="100"/>
      <c r="V16" s="100"/>
      <c r="W16" s="96"/>
      <c r="X16" s="101" t="b">
        <f aca="false">FALSE()</f>
        <v>0</v>
      </c>
      <c r="Y16" s="101" t="b">
        <f aca="false">FALSE()</f>
        <v>0</v>
      </c>
      <c r="Z16" s="102"/>
      <c r="AA16" s="103"/>
      <c r="AB16" s="103"/>
      <c r="AC16" s="103"/>
      <c r="AD16" s="103"/>
      <c r="AE16" s="103"/>
      <c r="AF16" s="104"/>
      <c r="AG16" s="91"/>
      <c r="AH16" s="91"/>
      <c r="AI16" s="91"/>
      <c r="AJ16" s="91"/>
      <c r="AK16" s="92"/>
    </row>
    <row r="17" s="111" customFormat="true" ht="19.5" hidden="false" customHeight="true" outlineLevel="0" collapsed="false">
      <c r="A17" s="106" t="s">
        <v>342</v>
      </c>
      <c r="B17" s="106"/>
      <c r="C17" s="107" t="n">
        <f aca="false">COUNTA(B3:B14)</f>
        <v>12</v>
      </c>
      <c r="D17" s="96"/>
      <c r="E17" s="97"/>
      <c r="F17" s="55"/>
      <c r="G17" s="96"/>
      <c r="H17" s="55"/>
      <c r="I17" s="98"/>
      <c r="J17" s="98"/>
      <c r="K17" s="96"/>
      <c r="L17" s="96"/>
      <c r="M17" s="96"/>
      <c r="N17" s="96"/>
      <c r="O17" s="96"/>
      <c r="P17" s="99" t="n">
        <f aca="false">FALSE()</f>
        <v>0</v>
      </c>
      <c r="Q17" s="96"/>
      <c r="R17" s="100"/>
      <c r="S17" s="100"/>
      <c r="T17" s="100"/>
      <c r="U17" s="100"/>
      <c r="V17" s="100"/>
      <c r="W17" s="96"/>
      <c r="X17" s="99" t="n">
        <f aca="false">FALSE()</f>
        <v>0</v>
      </c>
      <c r="Y17" s="99" t="n">
        <f aca="false">FALSE()</f>
        <v>0</v>
      </c>
      <c r="Z17" s="108"/>
      <c r="AA17" s="109"/>
      <c r="AB17" s="109"/>
      <c r="AC17" s="109"/>
      <c r="AD17" s="109"/>
      <c r="AE17" s="109"/>
      <c r="AF17" s="110"/>
      <c r="AG17" s="109"/>
      <c r="AH17" s="109"/>
      <c r="AI17" s="109"/>
      <c r="AJ17" s="109"/>
      <c r="AK17" s="108"/>
      <c r="AL17" s="109"/>
      <c r="AM17" s="109"/>
      <c r="AN17" s="109"/>
      <c r="AO17" s="109"/>
      <c r="AP17" s="109"/>
    </row>
    <row r="18" s="103" customFormat="true" ht="19.5" hidden="false" customHeight="true" outlineLevel="0" collapsed="false">
      <c r="A18" s="63" t="s">
        <v>343</v>
      </c>
      <c r="B18" s="63"/>
      <c r="C18" s="107" t="n">
        <f aca="false">COUNTIF(Z3:Z14,"On Time")</f>
        <v>1</v>
      </c>
      <c r="D18" s="112"/>
      <c r="E18" s="112"/>
      <c r="F18" s="54"/>
      <c r="G18" s="54"/>
      <c r="H18" s="54"/>
      <c r="I18" s="54"/>
      <c r="J18" s="54"/>
      <c r="K18" s="112"/>
      <c r="L18" s="112"/>
      <c r="M18" s="112"/>
      <c r="N18" s="112"/>
      <c r="O18" s="112"/>
      <c r="P18" s="99" t="n">
        <f aca="false">FALSE()</f>
        <v>0</v>
      </c>
      <c r="Q18" s="112"/>
      <c r="R18" s="113"/>
      <c r="S18" s="113"/>
      <c r="T18" s="113"/>
      <c r="U18" s="113"/>
      <c r="V18" s="113"/>
      <c r="W18" s="112"/>
      <c r="X18" s="99" t="n">
        <f aca="false">FALSE()</f>
        <v>0</v>
      </c>
      <c r="Y18" s="99" t="n">
        <f aca="false">FALSE()</f>
        <v>0</v>
      </c>
      <c r="Z18" s="92"/>
      <c r="AA18" s="45"/>
      <c r="AB18" s="45"/>
      <c r="AC18" s="45"/>
      <c r="AD18" s="45"/>
      <c r="AE18" s="45"/>
      <c r="AF18" s="114"/>
      <c r="AG18" s="45"/>
      <c r="AH18" s="45"/>
      <c r="AI18" s="45"/>
      <c r="AJ18" s="45"/>
      <c r="AK18" s="102"/>
      <c r="AQ18" s="102"/>
    </row>
    <row r="19" s="116" customFormat="true" ht="19.5" hidden="false" customHeight="true" outlineLevel="0" collapsed="false">
      <c r="A19" s="64" t="s">
        <v>344</v>
      </c>
      <c r="B19" s="64"/>
      <c r="C19" s="107" t="n">
        <f aca="false">COUNTIF(Z3:Z14,"Delayed")</f>
        <v>0</v>
      </c>
      <c r="D19" s="112"/>
      <c r="E19" s="112"/>
      <c r="F19" s="54"/>
      <c r="G19" s="54"/>
      <c r="H19" s="54"/>
      <c r="I19" s="54"/>
      <c r="J19" s="54"/>
      <c r="K19" s="112"/>
      <c r="L19" s="112"/>
      <c r="M19" s="112"/>
      <c r="N19" s="112"/>
      <c r="O19" s="112"/>
      <c r="P19" s="99" t="n">
        <f aca="false">FALSE()</f>
        <v>0</v>
      </c>
      <c r="Q19" s="112"/>
      <c r="R19" s="113"/>
      <c r="S19" s="113"/>
      <c r="T19" s="113"/>
      <c r="U19" s="113"/>
      <c r="V19" s="113"/>
      <c r="W19" s="112"/>
      <c r="X19" s="99" t="n">
        <f aca="false">FALSE()</f>
        <v>0</v>
      </c>
      <c r="Y19" s="99" t="n">
        <f aca="false">FALSE()</f>
        <v>0</v>
      </c>
      <c r="Z19" s="108"/>
      <c r="AA19" s="109"/>
      <c r="AB19" s="109"/>
      <c r="AC19" s="109"/>
      <c r="AD19" s="109"/>
      <c r="AE19" s="109"/>
      <c r="AF19" s="110"/>
      <c r="AG19" s="109"/>
      <c r="AH19" s="109"/>
      <c r="AI19" s="109"/>
      <c r="AJ19" s="109"/>
      <c r="AK19" s="115"/>
    </row>
    <row r="20" s="109" customFormat="true" ht="19.5" hidden="false" customHeight="true" outlineLevel="0" collapsed="false">
      <c r="A20" s="65" t="s">
        <v>345</v>
      </c>
      <c r="B20" s="65"/>
      <c r="C20" s="107" t="n">
        <f aca="false">COUNTIF(Z3:Z14,"In Transit")</f>
        <v>0</v>
      </c>
      <c r="D20" s="112"/>
      <c r="E20" s="112"/>
      <c r="F20" s="54"/>
      <c r="G20" s="54"/>
      <c r="H20" s="54"/>
      <c r="I20" s="54"/>
      <c r="J20" s="54"/>
      <c r="K20" s="112"/>
      <c r="L20" s="112"/>
      <c r="M20" s="112"/>
      <c r="N20" s="112"/>
      <c r="O20" s="112"/>
      <c r="P20" s="99" t="n">
        <f aca="false">FALSE()</f>
        <v>0</v>
      </c>
      <c r="Q20" s="112"/>
      <c r="R20" s="113"/>
      <c r="S20" s="113"/>
      <c r="T20" s="113"/>
      <c r="U20" s="113"/>
      <c r="V20" s="113"/>
      <c r="W20" s="112"/>
      <c r="X20" s="99" t="n">
        <f aca="false">FALSE()</f>
        <v>0</v>
      </c>
      <c r="Y20" s="99" t="n">
        <f aca="false">FALSE()</f>
        <v>0</v>
      </c>
      <c r="Z20" s="108"/>
      <c r="AF20" s="110"/>
      <c r="AK20" s="108"/>
    </row>
    <row r="21" s="91" customFormat="true" ht="19.5" hidden="false" customHeight="true" outlineLevel="0" collapsed="false">
      <c r="A21" s="66" t="s">
        <v>346</v>
      </c>
      <c r="B21" s="66"/>
      <c r="C21" s="107" t="n">
        <f aca="false">COUNTIF(Z3:Z14,"จบงานแล้ว")</f>
        <v>11</v>
      </c>
      <c r="D21" s="112"/>
      <c r="E21" s="112"/>
      <c r="F21" s="54"/>
      <c r="G21" s="54"/>
      <c r="H21" s="54"/>
      <c r="I21" s="54"/>
      <c r="J21" s="54"/>
      <c r="K21" s="112"/>
      <c r="L21" s="112"/>
      <c r="M21" s="112"/>
      <c r="N21" s="112"/>
      <c r="O21" s="112"/>
      <c r="P21" s="99" t="n">
        <f aca="false">FALSE()</f>
        <v>0</v>
      </c>
      <c r="Q21" s="112"/>
      <c r="R21" s="113"/>
      <c r="S21" s="113"/>
      <c r="T21" s="113"/>
      <c r="U21" s="113"/>
      <c r="V21" s="113"/>
      <c r="W21" s="112"/>
      <c r="X21" s="99" t="n">
        <f aca="false">FALSE()</f>
        <v>0</v>
      </c>
      <c r="Y21" s="99" t="n">
        <f aca="false">FALSE()</f>
        <v>0</v>
      </c>
      <c r="Z21" s="92"/>
      <c r="AA21" s="45"/>
      <c r="AB21" s="45"/>
      <c r="AC21" s="45"/>
      <c r="AD21" s="45"/>
      <c r="AE21" s="45"/>
      <c r="AF21" s="114"/>
      <c r="AG21" s="45"/>
      <c r="AH21" s="45"/>
      <c r="AI21" s="45"/>
      <c r="AJ21" s="45"/>
    </row>
    <row r="22" s="91" customFormat="true" ht="19.5" hidden="false" customHeight="true" outlineLevel="0" collapsed="false">
      <c r="A22" s="106" t="s">
        <v>347</v>
      </c>
      <c r="B22" s="106"/>
      <c r="C22" s="117" t="n">
        <f aca="false">IFERROR(COUNTIF(Z3:Z14,"On Time")/COUNTA(Z3:Z14),"N/A")</f>
        <v>0.0833333333333333</v>
      </c>
      <c r="D22" s="112"/>
      <c r="E22" s="112"/>
      <c r="F22" s="112"/>
      <c r="G22" s="112"/>
      <c r="H22" s="118"/>
      <c r="I22" s="118"/>
      <c r="J22" s="118"/>
      <c r="K22" s="112"/>
      <c r="L22" s="112"/>
      <c r="M22" s="112"/>
      <c r="N22" s="112"/>
      <c r="O22" s="112"/>
      <c r="P22" s="99" t="n">
        <f aca="false">FALSE()</f>
        <v>0</v>
      </c>
      <c r="Q22" s="112"/>
      <c r="R22" s="113"/>
      <c r="S22" s="113"/>
      <c r="T22" s="113"/>
      <c r="U22" s="113"/>
      <c r="V22" s="113"/>
      <c r="W22" s="112"/>
      <c r="X22" s="99" t="n">
        <f aca="false">FALSE()</f>
        <v>0</v>
      </c>
      <c r="Y22" s="99" t="n">
        <f aca="false">FALSE()</f>
        <v>0</v>
      </c>
      <c r="Z22" s="92"/>
      <c r="AA22" s="45"/>
      <c r="AB22" s="45"/>
      <c r="AC22" s="45"/>
      <c r="AD22" s="45"/>
      <c r="AE22" s="45"/>
      <c r="AF22" s="114"/>
      <c r="AG22" s="45"/>
      <c r="AH22" s="45"/>
      <c r="AI22" s="45"/>
      <c r="AJ22" s="45"/>
    </row>
    <row r="23" s="91" customFormat="true" ht="19.5" hidden="false" customHeight="true" outlineLevel="0" collapsed="false">
      <c r="A23" s="106" t="s">
        <v>348</v>
      </c>
      <c r="B23" s="106"/>
      <c r="C23" s="119" t="n">
        <f aca="false">IFERROR(AVERAGEIF(AA3:AA14,"&lt;&gt;"&amp;"",AA3:AA14),"N/A")</f>
        <v>2.81818181818182</v>
      </c>
      <c r="D23" s="112"/>
      <c r="E23" s="112"/>
      <c r="F23" s="112"/>
      <c r="G23" s="112"/>
      <c r="H23" s="118"/>
      <c r="I23" s="118"/>
      <c r="J23" s="118"/>
      <c r="K23" s="112"/>
      <c r="L23" s="112"/>
      <c r="M23" s="112"/>
      <c r="N23" s="112"/>
      <c r="O23" s="112"/>
      <c r="P23" s="99" t="n">
        <f aca="false">FALSE()</f>
        <v>0</v>
      </c>
      <c r="Q23" s="112"/>
      <c r="R23" s="113"/>
      <c r="S23" s="113"/>
      <c r="T23" s="113"/>
      <c r="U23" s="113"/>
      <c r="V23" s="113"/>
      <c r="W23" s="112"/>
      <c r="X23" s="99" t="n">
        <f aca="false">FALSE()</f>
        <v>0</v>
      </c>
      <c r="Y23" s="99" t="n">
        <f aca="false">FALSE()</f>
        <v>0</v>
      </c>
      <c r="Z23" s="92"/>
      <c r="AA23" s="45"/>
      <c r="AB23" s="45"/>
      <c r="AC23" s="45"/>
      <c r="AD23" s="45"/>
      <c r="AE23" s="45"/>
      <c r="AF23" s="114"/>
      <c r="AG23" s="45"/>
      <c r="AH23" s="45"/>
      <c r="AI23" s="45"/>
      <c r="AJ23" s="45"/>
    </row>
    <row r="24" s="91" customFormat="true" ht="19.5" hidden="false" customHeight="true" outlineLevel="0" collapsed="false">
      <c r="A24" s="106" t="s">
        <v>349</v>
      </c>
      <c r="B24" s="106"/>
      <c r="C24" s="119" t="n">
        <f aca="false">IFERROR(AVERAGEIF(AB3:AB14,"&gt;"&amp;0,AB3:AB14),"N/A")</f>
        <v>1</v>
      </c>
      <c r="D24" s="112"/>
      <c r="E24" s="112"/>
      <c r="F24" s="112"/>
      <c r="G24" s="112"/>
      <c r="H24" s="118"/>
      <c r="I24" s="118"/>
      <c r="J24" s="118"/>
      <c r="K24" s="112"/>
      <c r="L24" s="112"/>
      <c r="M24" s="112"/>
      <c r="N24" s="112"/>
      <c r="O24" s="112"/>
      <c r="P24" s="99" t="n">
        <f aca="false">FALSE()</f>
        <v>0</v>
      </c>
      <c r="Q24" s="112"/>
      <c r="R24" s="113"/>
      <c r="S24" s="113"/>
      <c r="T24" s="113"/>
      <c r="U24" s="113"/>
      <c r="V24" s="113"/>
      <c r="W24" s="112"/>
      <c r="X24" s="99" t="n">
        <f aca="false">FALSE()</f>
        <v>0</v>
      </c>
      <c r="Y24" s="99" t="n">
        <f aca="false">FALSE()</f>
        <v>0</v>
      </c>
      <c r="Z24" s="92"/>
      <c r="AA24" s="45"/>
      <c r="AB24" s="45"/>
      <c r="AC24" s="45"/>
      <c r="AD24" s="45"/>
      <c r="AE24" s="45"/>
      <c r="AF24" s="114"/>
      <c r="AG24" s="45"/>
      <c r="AH24" s="45"/>
      <c r="AI24" s="45"/>
      <c r="AJ24" s="45"/>
    </row>
    <row r="25" s="91" customFormat="true" ht="19.5" hidden="false" customHeight="true" outlineLevel="0" collapsed="false">
      <c r="A25" s="69" t="s">
        <v>350</v>
      </c>
      <c r="B25" s="69"/>
      <c r="C25" s="107" t="n">
        <f aca="false">IFERROR(COUNTA(AG3:AG14),0)</f>
        <v>0</v>
      </c>
      <c r="D25" s="112"/>
      <c r="E25" s="112"/>
      <c r="F25" s="112"/>
      <c r="G25" s="112"/>
      <c r="H25" s="118"/>
      <c r="I25" s="118"/>
      <c r="J25" s="118"/>
      <c r="K25" s="112"/>
      <c r="L25" s="112"/>
      <c r="M25" s="112"/>
      <c r="N25" s="112"/>
      <c r="O25" s="112"/>
      <c r="P25" s="99" t="n">
        <f aca="false">FALSE()</f>
        <v>0</v>
      </c>
      <c r="Q25" s="112"/>
      <c r="R25" s="113"/>
      <c r="S25" s="113"/>
      <c r="T25" s="113"/>
      <c r="U25" s="113"/>
      <c r="V25" s="113"/>
      <c r="W25" s="112"/>
      <c r="X25" s="99" t="n">
        <f aca="false">FALSE()</f>
        <v>0</v>
      </c>
      <c r="Y25" s="99" t="n">
        <f aca="false">FALSE()</f>
        <v>0</v>
      </c>
      <c r="Z25" s="92"/>
      <c r="AA25" s="45"/>
      <c r="AB25" s="45"/>
      <c r="AC25" s="45"/>
      <c r="AD25" s="45"/>
      <c r="AE25" s="45"/>
      <c r="AF25" s="114"/>
      <c r="AG25" s="45"/>
      <c r="AH25" s="45"/>
      <c r="AI25" s="45"/>
      <c r="AJ25" s="45"/>
    </row>
    <row r="26" s="91" customFormat="true" ht="19.5" hidden="false" customHeight="true" outlineLevel="0" collapsed="false">
      <c r="A26" s="63" t="s">
        <v>351</v>
      </c>
      <c r="B26" s="63"/>
      <c r="C26" s="107" t="n">
        <f aca="false">COUNTIF(AG3:AG14,"Paid")</f>
        <v>0</v>
      </c>
      <c r="D26" s="112"/>
      <c r="E26" s="112"/>
      <c r="F26" s="112"/>
      <c r="G26" s="112"/>
      <c r="H26" s="118"/>
      <c r="I26" s="118"/>
      <c r="J26" s="118"/>
      <c r="K26" s="112"/>
      <c r="L26" s="112"/>
      <c r="M26" s="112"/>
      <c r="N26" s="112"/>
      <c r="O26" s="112"/>
      <c r="P26" s="99" t="n">
        <f aca="false">FALSE()</f>
        <v>0</v>
      </c>
      <c r="Q26" s="112"/>
      <c r="R26" s="113"/>
      <c r="S26" s="113"/>
      <c r="T26" s="113"/>
      <c r="U26" s="113"/>
      <c r="V26" s="113"/>
      <c r="W26" s="112"/>
      <c r="X26" s="99" t="n">
        <f aca="false">FALSE()</f>
        <v>0</v>
      </c>
      <c r="Y26" s="99" t="n">
        <f aca="false">FALSE()</f>
        <v>0</v>
      </c>
      <c r="Z26" s="92"/>
      <c r="AA26" s="45"/>
      <c r="AB26" s="45"/>
      <c r="AC26" s="45"/>
      <c r="AD26" s="45"/>
      <c r="AE26" s="45"/>
      <c r="AF26" s="114"/>
      <c r="AG26" s="45"/>
      <c r="AH26" s="45"/>
      <c r="AI26" s="45"/>
      <c r="AJ26" s="45"/>
    </row>
    <row r="27" s="91" customFormat="true" ht="19.5" hidden="false" customHeight="true" outlineLevel="0" collapsed="false">
      <c r="A27" s="64" t="s">
        <v>352</v>
      </c>
      <c r="B27" s="64"/>
      <c r="C27" s="107" t="n">
        <f aca="false">COUNTIF(AG3:AG14,"Unpaid")+COUNTIF(AG3:AG14,"Pending")</f>
        <v>0</v>
      </c>
      <c r="D27" s="112"/>
      <c r="E27" s="112"/>
      <c r="F27" s="112"/>
      <c r="G27" s="112"/>
      <c r="H27" s="118"/>
      <c r="I27" s="118"/>
      <c r="J27" s="118"/>
      <c r="K27" s="112"/>
      <c r="L27" s="112"/>
      <c r="M27" s="112"/>
      <c r="N27" s="112"/>
      <c r="O27" s="112"/>
      <c r="P27" s="112"/>
      <c r="Q27" s="112"/>
      <c r="R27" s="113"/>
      <c r="S27" s="113"/>
      <c r="T27" s="113"/>
      <c r="U27" s="113"/>
      <c r="V27" s="113"/>
      <c r="W27" s="112"/>
      <c r="X27" s="99" t="n">
        <f aca="false">FALSE()</f>
        <v>0</v>
      </c>
      <c r="Y27" s="99" t="n">
        <f aca="false">FALSE()</f>
        <v>0</v>
      </c>
      <c r="Z27" s="92"/>
      <c r="AA27" s="45"/>
      <c r="AB27" s="45"/>
      <c r="AC27" s="45"/>
      <c r="AD27" s="45"/>
      <c r="AE27" s="45"/>
      <c r="AF27" s="114"/>
      <c r="AG27" s="45"/>
      <c r="AH27" s="45"/>
      <c r="AI27" s="45"/>
      <c r="AJ27" s="45"/>
    </row>
    <row r="28" s="111" customFormat="true" ht="19.5" hidden="false" customHeight="true" outlineLevel="0" collapsed="false">
      <c r="A28" s="69" t="s">
        <v>353</v>
      </c>
      <c r="B28" s="69"/>
      <c r="C28" s="120" t="n">
        <f aca="false">IFERROR(SUM(AF3:AF14),0)</f>
        <v>0</v>
      </c>
      <c r="D28" s="112"/>
      <c r="E28" s="112"/>
      <c r="F28" s="112"/>
      <c r="G28" s="112"/>
      <c r="H28" s="118"/>
      <c r="I28" s="118"/>
      <c r="J28" s="118"/>
      <c r="K28" s="112"/>
      <c r="L28" s="112"/>
      <c r="M28" s="112"/>
      <c r="N28" s="112"/>
      <c r="O28" s="112"/>
      <c r="P28" s="112"/>
      <c r="Q28" s="112"/>
      <c r="R28" s="113"/>
      <c r="S28" s="113"/>
      <c r="T28" s="113"/>
      <c r="U28" s="113"/>
      <c r="V28" s="113"/>
      <c r="W28" s="112"/>
      <c r="X28" s="99" t="n">
        <f aca="false">FALSE()</f>
        <v>0</v>
      </c>
      <c r="Y28" s="99" t="n">
        <f aca="false">FALSE()</f>
        <v>0</v>
      </c>
      <c r="Z28" s="115"/>
      <c r="AA28" s="116"/>
      <c r="AB28" s="116"/>
      <c r="AC28" s="109"/>
      <c r="AD28" s="109"/>
      <c r="AE28" s="109"/>
      <c r="AF28" s="110"/>
      <c r="AG28" s="109"/>
      <c r="AH28" s="109"/>
      <c r="AI28" s="109"/>
      <c r="AJ28" s="109"/>
      <c r="AK28" s="108"/>
      <c r="AL28" s="109"/>
      <c r="AM28" s="109"/>
      <c r="AN28" s="109"/>
      <c r="AO28" s="109"/>
      <c r="AP28" s="109"/>
    </row>
    <row r="29" s="103" customFormat="true" ht="19.5" hidden="false" customHeight="true" outlineLevel="0" collapsed="false">
      <c r="A29" s="63" t="s">
        <v>354</v>
      </c>
      <c r="B29" s="63"/>
      <c r="C29" s="120" t="n">
        <f aca="false">IFERROR(SUMIF(AG3:AG14,"Paid",AF3:AF14),0)</f>
        <v>0</v>
      </c>
      <c r="D29" s="112"/>
      <c r="E29" s="112"/>
      <c r="F29" s="112"/>
      <c r="G29" s="112"/>
      <c r="H29" s="118"/>
      <c r="I29" s="118"/>
      <c r="J29" s="118"/>
      <c r="K29" s="112"/>
      <c r="L29" s="112"/>
      <c r="M29" s="112"/>
      <c r="N29" s="112"/>
      <c r="O29" s="112"/>
      <c r="P29" s="112"/>
      <c r="Q29" s="112"/>
      <c r="R29" s="113"/>
      <c r="S29" s="113"/>
      <c r="T29" s="113"/>
      <c r="U29" s="113"/>
      <c r="V29" s="113"/>
      <c r="W29" s="112"/>
      <c r="X29" s="99" t="n">
        <f aca="false">FALSE()</f>
        <v>0</v>
      </c>
      <c r="Y29" s="99" t="n">
        <f aca="false">FALSE()</f>
        <v>0</v>
      </c>
      <c r="Z29" s="121"/>
      <c r="AA29" s="122"/>
      <c r="AB29" s="122"/>
      <c r="AC29" s="92"/>
      <c r="AD29" s="45"/>
      <c r="AE29" s="45"/>
      <c r="AF29" s="114"/>
      <c r="AG29" s="45"/>
      <c r="AH29" s="45"/>
      <c r="AI29" s="45"/>
      <c r="AJ29" s="45"/>
      <c r="AK29" s="102"/>
      <c r="AQ29" s="102"/>
    </row>
    <row r="30" s="103" customFormat="true" ht="19.5" hidden="false" customHeight="true" outlineLevel="0" collapsed="false">
      <c r="A30" s="64" t="s">
        <v>355</v>
      </c>
      <c r="B30" s="64"/>
      <c r="C30" s="120" t="n">
        <f aca="false">IFERROR(SUMIF(AG3:AG14,"Unpaid",AF3:AF14)+SUMIF(AG3:AG14,"Pending",AF3:AF14),0)</f>
        <v>0</v>
      </c>
      <c r="D30" s="112"/>
      <c r="E30" s="112"/>
      <c r="F30" s="112"/>
      <c r="G30" s="112"/>
      <c r="H30" s="118"/>
      <c r="I30" s="118"/>
      <c r="J30" s="118"/>
      <c r="K30" s="112"/>
      <c r="L30" s="112"/>
      <c r="M30" s="112"/>
      <c r="N30" s="112"/>
      <c r="O30" s="112"/>
      <c r="P30" s="112"/>
      <c r="Q30" s="112"/>
      <c r="R30" s="113"/>
      <c r="S30" s="113"/>
      <c r="T30" s="113"/>
      <c r="U30" s="113"/>
      <c r="V30" s="113"/>
      <c r="W30" s="112"/>
      <c r="X30" s="112"/>
      <c r="Y30" s="123"/>
      <c r="Z30" s="124"/>
      <c r="AA30" s="125"/>
      <c r="AB30" s="125"/>
      <c r="AC30" s="45"/>
      <c r="AD30" s="45"/>
      <c r="AE30" s="45"/>
      <c r="AF30" s="114"/>
      <c r="AG30" s="45"/>
      <c r="AH30" s="45"/>
      <c r="AI30" s="45"/>
      <c r="AJ30" s="45"/>
      <c r="AK30" s="102"/>
      <c r="AQ30" s="102"/>
    </row>
    <row r="31" s="103" customFormat="true" ht="15" hidden="false" customHeight="false" outlineLevel="0" collapsed="false">
      <c r="A31" s="112"/>
      <c r="B31" s="112"/>
      <c r="C31" s="112"/>
      <c r="D31" s="112"/>
      <c r="E31" s="112"/>
      <c r="F31" s="112"/>
      <c r="G31" s="112"/>
      <c r="H31" s="118"/>
      <c r="I31" s="118"/>
      <c r="J31" s="118"/>
      <c r="K31" s="112"/>
      <c r="L31" s="112"/>
      <c r="M31" s="112"/>
      <c r="N31" s="112"/>
      <c r="O31" s="112"/>
      <c r="P31" s="112"/>
      <c r="Q31" s="112"/>
      <c r="R31" s="113"/>
      <c r="S31" s="113"/>
      <c r="T31" s="113"/>
      <c r="U31" s="113"/>
      <c r="V31" s="113"/>
      <c r="W31" s="112"/>
      <c r="X31" s="112"/>
      <c r="Y31" s="123"/>
      <c r="Z31" s="92"/>
      <c r="AA31" s="45"/>
      <c r="AB31" s="45"/>
      <c r="AC31" s="45"/>
      <c r="AD31" s="45"/>
      <c r="AE31" s="45"/>
      <c r="AF31" s="114"/>
      <c r="AG31" s="45"/>
      <c r="AH31" s="45"/>
      <c r="AI31" s="45"/>
      <c r="AJ31" s="45"/>
      <c r="AK31" s="102"/>
      <c r="AQ31" s="102"/>
    </row>
    <row r="32" s="103" customFormat="true" ht="15" hidden="false" customHeight="false" outlineLevel="0" collapsed="false">
      <c r="A32" s="112"/>
      <c r="B32" s="112"/>
      <c r="C32" s="112"/>
      <c r="D32" s="112"/>
      <c r="E32" s="112"/>
      <c r="F32" s="112"/>
      <c r="G32" s="112"/>
      <c r="H32" s="118"/>
      <c r="I32" s="118"/>
      <c r="J32" s="118"/>
      <c r="K32" s="112"/>
      <c r="L32" s="112"/>
      <c r="M32" s="112"/>
      <c r="N32" s="112"/>
      <c r="O32" s="112"/>
      <c r="P32" s="112"/>
      <c r="Q32" s="112"/>
      <c r="R32" s="113"/>
      <c r="S32" s="113"/>
      <c r="T32" s="113"/>
      <c r="U32" s="113"/>
      <c r="V32" s="113"/>
      <c r="W32" s="112"/>
      <c r="X32" s="112"/>
      <c r="Y32" s="123"/>
      <c r="Z32" s="92"/>
      <c r="AA32" s="45"/>
      <c r="AB32" s="45"/>
      <c r="AC32" s="45"/>
      <c r="AD32" s="45"/>
      <c r="AE32" s="45"/>
      <c r="AF32" s="114"/>
      <c r="AG32" s="45"/>
      <c r="AH32" s="45"/>
      <c r="AI32" s="45"/>
      <c r="AJ32" s="45"/>
      <c r="AK32" s="102"/>
      <c r="AQ32" s="102"/>
    </row>
    <row r="33" s="103" customFormat="true" ht="15" hidden="false" customHeight="false" outlineLevel="0" collapsed="false">
      <c r="A33" s="112"/>
      <c r="B33" s="112"/>
      <c r="C33" s="112"/>
      <c r="D33" s="112"/>
      <c r="E33" s="112"/>
      <c r="F33" s="112"/>
      <c r="G33" s="112"/>
      <c r="H33" s="118"/>
      <c r="I33" s="118"/>
      <c r="J33" s="118"/>
      <c r="K33" s="112"/>
      <c r="L33" s="112"/>
      <c r="M33" s="112"/>
      <c r="N33" s="112"/>
      <c r="O33" s="112"/>
      <c r="P33" s="112"/>
      <c r="Q33" s="112"/>
      <c r="R33" s="113"/>
      <c r="S33" s="113"/>
      <c r="T33" s="113"/>
      <c r="U33" s="113"/>
      <c r="V33" s="113"/>
      <c r="W33" s="112"/>
      <c r="X33" s="112"/>
      <c r="Y33" s="123"/>
      <c r="Z33" s="92"/>
      <c r="AA33" s="45"/>
      <c r="AB33" s="45"/>
      <c r="AC33" s="45"/>
      <c r="AD33" s="45"/>
      <c r="AE33" s="45"/>
      <c r="AF33" s="114"/>
      <c r="AG33" s="45"/>
      <c r="AH33" s="45"/>
      <c r="AI33" s="45"/>
      <c r="AJ33" s="45"/>
      <c r="AK33" s="102"/>
      <c r="AQ33" s="102"/>
    </row>
    <row r="34" s="103" customFormat="true" ht="15" hidden="false" customHeight="false" outlineLevel="0" collapsed="false">
      <c r="A34" s="112"/>
      <c r="B34" s="112"/>
      <c r="C34" s="112"/>
      <c r="D34" s="112"/>
      <c r="E34" s="112"/>
      <c r="F34" s="112"/>
      <c r="G34" s="112"/>
      <c r="H34" s="118"/>
      <c r="I34" s="118"/>
      <c r="J34" s="118"/>
      <c r="K34" s="112"/>
      <c r="L34" s="112"/>
      <c r="M34" s="112"/>
      <c r="N34" s="112"/>
      <c r="O34" s="112"/>
      <c r="P34" s="112"/>
      <c r="Q34" s="112"/>
      <c r="R34" s="113"/>
      <c r="S34" s="113"/>
      <c r="T34" s="113"/>
      <c r="U34" s="113"/>
      <c r="V34" s="113"/>
      <c r="W34" s="112"/>
      <c r="X34" s="112"/>
      <c r="Y34" s="123"/>
      <c r="Z34" s="92"/>
      <c r="AA34" s="45"/>
      <c r="AB34" s="45"/>
      <c r="AC34" s="45"/>
      <c r="AD34" s="45"/>
      <c r="AE34" s="45"/>
      <c r="AF34" s="114"/>
      <c r="AG34" s="45"/>
      <c r="AH34" s="45"/>
      <c r="AI34" s="45"/>
      <c r="AJ34" s="45"/>
      <c r="AK34" s="102"/>
      <c r="AQ34" s="102"/>
    </row>
    <row r="35" s="103" customFormat="true" ht="15" hidden="false" customHeight="false" outlineLevel="0" collapsed="false">
      <c r="A35" s="112"/>
      <c r="B35" s="112"/>
      <c r="C35" s="112"/>
      <c r="D35" s="112"/>
      <c r="E35" s="112"/>
      <c r="F35" s="112"/>
      <c r="G35" s="112"/>
      <c r="H35" s="118"/>
      <c r="I35" s="118"/>
      <c r="J35" s="118"/>
      <c r="K35" s="112"/>
      <c r="L35" s="112"/>
      <c r="M35" s="112"/>
      <c r="N35" s="112"/>
      <c r="O35" s="112"/>
      <c r="P35" s="112"/>
      <c r="Q35" s="112"/>
      <c r="R35" s="113"/>
      <c r="S35" s="113"/>
      <c r="T35" s="113"/>
      <c r="U35" s="113"/>
      <c r="V35" s="113"/>
      <c r="W35" s="112"/>
      <c r="X35" s="112"/>
      <c r="Y35" s="112"/>
      <c r="Z35" s="92"/>
      <c r="AA35" s="45"/>
      <c r="AB35" s="45"/>
      <c r="AC35" s="45"/>
      <c r="AD35" s="45"/>
      <c r="AE35" s="45"/>
      <c r="AF35" s="114"/>
      <c r="AG35" s="45"/>
      <c r="AH35" s="45"/>
      <c r="AI35" s="45"/>
      <c r="AJ35" s="45"/>
      <c r="AK35" s="102"/>
      <c r="AQ35" s="102"/>
    </row>
    <row r="36" customFormat="false" ht="15" hidden="false" customHeight="false" outlineLevel="0" collapsed="false">
      <c r="A36" s="112"/>
      <c r="B36" s="112"/>
      <c r="C36" s="112"/>
      <c r="D36" s="112"/>
      <c r="E36" s="112"/>
      <c r="F36" s="112"/>
      <c r="G36" s="112"/>
      <c r="H36" s="118"/>
      <c r="I36" s="118"/>
      <c r="J36" s="118"/>
      <c r="K36" s="112"/>
      <c r="L36" s="112"/>
      <c r="M36" s="112"/>
      <c r="N36" s="112"/>
      <c r="O36" s="112"/>
      <c r="P36" s="112"/>
      <c r="Q36" s="112"/>
      <c r="R36" s="113"/>
      <c r="S36" s="113"/>
      <c r="T36" s="113"/>
      <c r="U36" s="113"/>
      <c r="V36" s="113"/>
      <c r="W36" s="112"/>
      <c r="X36" s="112"/>
      <c r="Y36" s="112"/>
    </row>
    <row r="37" customFormat="false" ht="15" hidden="false" customHeight="false" outlineLevel="0" collapsed="false">
      <c r="A37" s="112"/>
      <c r="B37" s="112"/>
      <c r="C37" s="112"/>
      <c r="D37" s="112"/>
      <c r="E37" s="112"/>
      <c r="F37" s="112"/>
      <c r="G37" s="112"/>
      <c r="H37" s="118"/>
      <c r="I37" s="118"/>
      <c r="J37" s="118"/>
      <c r="K37" s="112"/>
      <c r="L37" s="112"/>
      <c r="M37" s="112"/>
      <c r="N37" s="112"/>
      <c r="O37" s="112"/>
      <c r="P37" s="112"/>
      <c r="Q37" s="112"/>
      <c r="R37" s="113"/>
      <c r="S37" s="113"/>
      <c r="T37" s="113"/>
      <c r="U37" s="113"/>
      <c r="V37" s="113"/>
      <c r="W37" s="112"/>
      <c r="X37" s="112"/>
      <c r="Y37" s="112"/>
    </row>
    <row r="38" customFormat="false" ht="15" hidden="false" customHeight="false" outlineLevel="0" collapsed="false">
      <c r="A38" s="112"/>
      <c r="B38" s="112"/>
      <c r="C38" s="112"/>
      <c r="D38" s="112"/>
      <c r="E38" s="112"/>
      <c r="F38" s="112"/>
      <c r="G38" s="112"/>
      <c r="H38" s="118"/>
      <c r="I38" s="118"/>
      <c r="J38" s="118"/>
      <c r="K38" s="112"/>
      <c r="L38" s="112"/>
      <c r="M38" s="112"/>
      <c r="N38" s="112"/>
      <c r="O38" s="112"/>
      <c r="P38" s="112"/>
      <c r="Q38" s="112"/>
      <c r="R38" s="113"/>
      <c r="S38" s="113"/>
      <c r="T38" s="113"/>
      <c r="U38" s="113"/>
      <c r="V38" s="113"/>
      <c r="W38" s="112"/>
      <c r="X38" s="112"/>
      <c r="Y38" s="112"/>
    </row>
    <row r="39" customFormat="false" ht="15" hidden="false" customHeight="false" outlineLevel="0" collapsed="false">
      <c r="A39" s="112"/>
      <c r="B39" s="112"/>
      <c r="C39" s="112"/>
      <c r="D39" s="112"/>
      <c r="E39" s="112"/>
      <c r="F39" s="112"/>
      <c r="G39" s="112"/>
      <c r="H39" s="118"/>
      <c r="I39" s="118"/>
      <c r="J39" s="118"/>
      <c r="K39" s="112"/>
      <c r="L39" s="112"/>
      <c r="M39" s="112"/>
      <c r="N39" s="112"/>
      <c r="O39" s="112"/>
      <c r="P39" s="112"/>
      <c r="Q39" s="112"/>
      <c r="R39" s="113"/>
      <c r="S39" s="113"/>
      <c r="T39" s="113"/>
      <c r="U39" s="113"/>
      <c r="V39" s="113"/>
      <c r="W39" s="112"/>
      <c r="X39" s="112"/>
      <c r="Y39" s="112"/>
    </row>
    <row r="40" customFormat="false" ht="15" hidden="false" customHeight="false" outlineLevel="0" collapsed="false">
      <c r="A40" s="112"/>
      <c r="B40" s="112"/>
      <c r="C40" s="112"/>
      <c r="D40" s="112"/>
      <c r="E40" s="112"/>
      <c r="F40" s="112"/>
      <c r="G40" s="112"/>
      <c r="H40" s="118"/>
      <c r="I40" s="118"/>
      <c r="J40" s="118"/>
      <c r="K40" s="112"/>
      <c r="L40" s="112"/>
      <c r="M40" s="112"/>
      <c r="N40" s="112"/>
      <c r="O40" s="112"/>
      <c r="P40" s="112"/>
      <c r="Q40" s="112"/>
      <c r="R40" s="113"/>
      <c r="S40" s="113"/>
      <c r="T40" s="113"/>
      <c r="U40" s="113"/>
      <c r="V40" s="113"/>
      <c r="W40" s="112"/>
      <c r="X40" s="112"/>
      <c r="Y40" s="112"/>
    </row>
    <row r="41" customFormat="false" ht="15" hidden="false" customHeight="false" outlineLevel="0" collapsed="false">
      <c r="A41" s="112"/>
      <c r="B41" s="112"/>
      <c r="C41" s="112"/>
      <c r="D41" s="112"/>
      <c r="E41" s="112"/>
      <c r="F41" s="112"/>
      <c r="G41" s="112"/>
      <c r="H41" s="118"/>
      <c r="I41" s="118"/>
      <c r="J41" s="118"/>
      <c r="K41" s="112"/>
      <c r="L41" s="112"/>
      <c r="M41" s="112"/>
      <c r="N41" s="112"/>
      <c r="O41" s="112"/>
      <c r="P41" s="112"/>
      <c r="Q41" s="112"/>
      <c r="R41" s="113"/>
      <c r="S41" s="113"/>
      <c r="T41" s="113"/>
      <c r="U41" s="113"/>
      <c r="V41" s="113"/>
      <c r="W41" s="112"/>
      <c r="X41" s="112"/>
      <c r="Y41" s="112"/>
    </row>
    <row r="42" customFormat="false" ht="15" hidden="false" customHeight="false" outlineLevel="0" collapsed="false">
      <c r="A42" s="112"/>
      <c r="B42" s="112"/>
      <c r="C42" s="112"/>
      <c r="D42" s="112"/>
      <c r="E42" s="112"/>
      <c r="F42" s="112"/>
      <c r="G42" s="112"/>
      <c r="H42" s="118"/>
      <c r="I42" s="118"/>
      <c r="J42" s="118"/>
      <c r="K42" s="112"/>
      <c r="L42" s="112"/>
      <c r="M42" s="112"/>
      <c r="N42" s="112"/>
      <c r="O42" s="112"/>
      <c r="P42" s="112"/>
      <c r="Q42" s="112"/>
      <c r="R42" s="113"/>
      <c r="S42" s="113"/>
      <c r="T42" s="113"/>
      <c r="U42" s="113"/>
      <c r="V42" s="113"/>
      <c r="W42" s="112"/>
      <c r="X42" s="112"/>
      <c r="Y42" s="112"/>
    </row>
    <row r="43" customFormat="false" ht="15" hidden="false" customHeight="false" outlineLevel="0" collapsed="false">
      <c r="A43" s="112"/>
      <c r="B43" s="112"/>
      <c r="C43" s="112"/>
      <c r="D43" s="112"/>
      <c r="E43" s="112"/>
      <c r="F43" s="112"/>
      <c r="G43" s="112"/>
      <c r="H43" s="118"/>
      <c r="I43" s="118"/>
      <c r="J43" s="118"/>
      <c r="K43" s="112"/>
      <c r="L43" s="112"/>
      <c r="M43" s="112"/>
      <c r="N43" s="112"/>
      <c r="O43" s="112"/>
      <c r="P43" s="112"/>
      <c r="Q43" s="112"/>
      <c r="R43" s="113"/>
      <c r="S43" s="113"/>
      <c r="T43" s="113"/>
      <c r="U43" s="113"/>
      <c r="V43" s="113"/>
      <c r="W43" s="112"/>
      <c r="X43" s="112"/>
      <c r="Y43" s="112"/>
    </row>
  </sheetData>
  <mergeCells count="15">
    <mergeCell ref="A16:H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</mergeCells>
  <conditionalFormatting sqref="Z3:Z14">
    <cfRule type="expression" priority="2" aboveAverage="0" equalAverage="0" bottom="0" percent="0" rank="0" text="" dxfId="4">
      <formula>Z3="On Time"</formula>
    </cfRule>
    <cfRule type="expression" priority="3" aboveAverage="0" equalAverage="0" bottom="0" percent="0" rank="0" text="" dxfId="5">
      <formula>Z3="Delayed"</formula>
    </cfRule>
    <cfRule type="expression" priority="4" aboveAverage="0" equalAverage="0" bottom="0" percent="0" rank="0" text="" dxfId="6">
      <formula>Z3="In Transit"</formula>
    </cfRule>
    <cfRule type="expression" priority="5" aboveAverage="0" equalAverage="0" bottom="0" percent="0" rank="0" text="" dxfId="7">
      <formula>Z3="จบงานแล้ว"</formula>
    </cfRule>
  </conditionalFormatting>
  <conditionalFormatting sqref="AC3:AC14">
    <cfRule type="expression" priority="6" aboveAverage="0" equalAverage="0" bottom="0" percent="0" rank="0" text="" dxfId="7">
      <formula>AC3="จบงานแล้ว"</formula>
    </cfRule>
  </conditionalFormatting>
  <conditionalFormatting sqref="AA3:AA14">
    <cfRule type="cellIs" priority="7" operator="lessThanOrEqual" aboveAverage="0" equalAverage="0" bottom="0" percent="0" rank="0" text="" dxfId="4">
      <formula>5</formula>
    </cfRule>
    <cfRule type="cellIs" priority="8" operator="greaterThan" aboveAverage="0" equalAverage="0" bottom="0" percent="0" rank="0" text="" dxfId="5">
      <formula>10</formula>
    </cfRule>
  </conditionalFormatting>
  <conditionalFormatting sqref="AB3:AB14">
    <cfRule type="cellIs" priority="9" operator="greaterThan" aboveAverage="0" equalAverage="0" bottom="0" percent="0" rank="0" text="" dxfId="5">
      <formula>0</formula>
    </cfRule>
  </conditionalFormatting>
  <conditionalFormatting sqref="AG3:AG14">
    <cfRule type="expression" priority="10" aboveAverage="0" equalAverage="0" bottom="0" percent="0" rank="0" text="" dxfId="4">
      <formula>AG3="Paid"</formula>
    </cfRule>
    <cfRule type="expression" priority="11" aboveAverage="0" equalAverage="0" bottom="0" percent="0" rank="0" text="" dxfId="5">
      <formula>AG3="Unpaid"</formula>
    </cfRule>
    <cfRule type="expression" priority="12" aboveAverage="0" equalAverage="0" bottom="0" percent="0" rank="0" text="" dxfId="6">
      <formula>AG3="Pending"</formula>
    </cfRule>
  </conditionalFormatting>
  <dataValidations count="1">
    <dataValidation allowBlank="true" errorStyle="stop" operator="between" showDropDown="false" showErrorMessage="false" showInputMessage="false" sqref="AG3:AG14" type="list">
      <formula1>"Paid,Unpaid,Pending"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AS4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24" activeCellId="0" sqref="E24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34.14"/>
    <col collapsed="false" customWidth="true" hidden="false" outlineLevel="0" max="4" min="4" style="0" width="14"/>
    <col collapsed="false" customWidth="true" hidden="false" outlineLevel="0" max="5" min="5" style="0" width="10.85"/>
    <col collapsed="false" customWidth="true" hidden="false" outlineLevel="0" max="7" min="7" style="0" width="17.29"/>
    <col collapsed="false" customWidth="true" hidden="false" outlineLevel="0" max="8" min="8" style="1" width="12.15"/>
    <col collapsed="false" customWidth="true" hidden="false" outlineLevel="0" max="9" min="9" style="1" width="12.29"/>
    <col collapsed="false" customWidth="true" hidden="false" outlineLevel="0" max="10" min="10" style="1" width="12.42"/>
    <col collapsed="false" customWidth="true" hidden="false" outlineLevel="0" max="11" min="11" style="0" width="11.29"/>
    <col collapsed="false" customWidth="true" hidden="false" outlineLevel="0" max="12" min="12" style="0" width="14.42"/>
    <col collapsed="false" customWidth="true" hidden="false" outlineLevel="0" max="14" min="14" style="0" width="10.29"/>
    <col collapsed="false" customWidth="true" hidden="false" outlineLevel="0" max="15" min="15" style="3" width="13.42"/>
    <col collapsed="false" customWidth="true" hidden="false" outlineLevel="0" max="16" min="16" style="4" width="11.14"/>
    <col collapsed="false" customWidth="true" hidden="false" outlineLevel="0" max="17" min="17" style="0" width="22"/>
    <col collapsed="false" customWidth="true" hidden="false" outlineLevel="0" max="18" min="18" style="0" width="73"/>
    <col collapsed="false" customWidth="true" hidden="false" outlineLevel="0" max="19" min="19" style="0" width="13.29"/>
    <col collapsed="false" customWidth="true" hidden="false" outlineLevel="0" max="20" min="20" style="0" width="15.71"/>
    <col collapsed="false" customWidth="true" hidden="false" outlineLevel="0" max="21" min="21" style="5" width="19.42"/>
    <col collapsed="false" customWidth="true" hidden="false" outlineLevel="0" max="22" min="22" style="5" width="14.86"/>
    <col collapsed="false" customWidth="true" hidden="false" outlineLevel="0" max="23" min="23" style="5" width="11.85"/>
    <col collapsed="false" customWidth="true" hidden="false" outlineLevel="0" max="24" min="24" style="5" width="10.42"/>
    <col collapsed="false" customWidth="true" hidden="false" outlineLevel="0" max="25" min="25" style="5" width="11.29"/>
    <col collapsed="false" customWidth="true" hidden="false" outlineLevel="0" max="26" min="26" style="0" width="26"/>
    <col collapsed="false" customWidth="true" hidden="false" outlineLevel="0" max="37" min="34" style="0" width="13"/>
    <col collapsed="false" customWidth="true" hidden="false" outlineLevel="0" max="41" min="38" style="0" width="14"/>
  </cols>
  <sheetData>
    <row r="1" s="12" customFormat="true" ht="33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H1" s="13" t="s">
        <v>29</v>
      </c>
      <c r="AI1" s="13" t="s">
        <v>30</v>
      </c>
      <c r="AJ1" s="13" t="s">
        <v>31</v>
      </c>
      <c r="AK1" s="14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26"/>
      <c r="AQ1" s="126"/>
      <c r="AR1" s="126"/>
    </row>
    <row r="2" s="24" customFormat="true" ht="15" hidden="false" customHeight="false" outlineLevel="0" collapsed="false">
      <c r="A2" s="16" t="n">
        <v>1</v>
      </c>
      <c r="B2" s="17" t="s">
        <v>426</v>
      </c>
      <c r="C2" s="17" t="s">
        <v>427</v>
      </c>
      <c r="D2" s="17" t="s">
        <v>169</v>
      </c>
      <c r="E2" s="17" t="s">
        <v>40</v>
      </c>
      <c r="F2" s="17" t="s">
        <v>54</v>
      </c>
      <c r="G2" s="17" t="s">
        <v>428</v>
      </c>
      <c r="H2" s="18"/>
      <c r="I2" s="19" t="n">
        <v>46079</v>
      </c>
      <c r="J2" s="19" t="n">
        <v>46084</v>
      </c>
      <c r="K2" s="16"/>
      <c r="L2" s="17" t="s">
        <v>44</v>
      </c>
      <c r="M2" s="17"/>
      <c r="N2" s="17" t="s">
        <v>429</v>
      </c>
      <c r="O2" s="20" t="n">
        <v>100.7</v>
      </c>
      <c r="P2" s="21" t="n">
        <v>1</v>
      </c>
      <c r="Q2" s="17" t="s">
        <v>430</v>
      </c>
      <c r="R2" s="17" t="s">
        <v>431</v>
      </c>
      <c r="S2" s="43" t="n">
        <f aca="false">FALSE()</f>
        <v>0</v>
      </c>
      <c r="T2" s="17"/>
      <c r="U2" s="23"/>
      <c r="V2" s="23"/>
      <c r="W2" s="23"/>
      <c r="X2" s="23"/>
      <c r="Y2" s="23"/>
      <c r="Z2" s="17"/>
      <c r="AA2" s="22" t="b">
        <f aca="false">TRUE()</f>
        <v>1</v>
      </c>
      <c r="AB2" s="22" t="b">
        <f aca="false">TRUE()</f>
        <v>1</v>
      </c>
      <c r="AC2" s="17"/>
      <c r="AH2" s="93" t="str">
        <f aca="false">IF(AK2="จบงานแล้ว","จบงานแล้ว",IF(K2="","In Transit",IF(K2&lt;=J2,"On Time","Delayed")))</f>
        <v>In Transit</v>
      </c>
      <c r="AI2" s="26" t="str">
        <f aca="false">IFERROR(IF(AND(ISNUMBER(U2),ISNUMBER(X2)),X2-U2,""),"")</f>
        <v/>
      </c>
      <c r="AJ2" s="26" t="str">
        <f aca="false">IF(AND(J2&lt;&gt;"",K2&lt;&gt;""),MAX(0,K2-J2),"")</f>
        <v/>
      </c>
      <c r="AK2" s="27" t="str">
        <f aca="false">IF(OR(ISNUMBER(SEARCH("เคลียร์สินค้าและจัดส่งสินค้าแล้ว",Z2)),ISNUMBER(SEARCH("เคลียร์สินค้าเรียบร้อย",Z2)),ISNUMBER(SEARCH("เคลียร์สินค้าและจัดส่งแล้ว",Z2)),ISNUMBER(SEARCH("จัดส่งสินค้าแล้ว",Z2))), "จบงานแล้ว", "")</f>
        <v/>
      </c>
      <c r="AL2" s="28"/>
      <c r="AM2" s="29"/>
      <c r="AN2" s="30"/>
      <c r="AO2" s="29"/>
      <c r="AP2" s="127"/>
      <c r="AQ2" s="127"/>
      <c r="AR2" s="127"/>
    </row>
    <row r="3" s="24" customFormat="true" ht="15" hidden="false" customHeight="false" outlineLevel="0" collapsed="false">
      <c r="A3" s="31" t="n">
        <v>2</v>
      </c>
      <c r="B3" s="32" t="s">
        <v>426</v>
      </c>
      <c r="C3" s="32" t="s">
        <v>432</v>
      </c>
      <c r="D3" s="32" t="s">
        <v>169</v>
      </c>
      <c r="E3" s="32" t="s">
        <v>433</v>
      </c>
      <c r="F3" s="32" t="s">
        <v>54</v>
      </c>
      <c r="G3" s="32" t="s">
        <v>428</v>
      </c>
      <c r="H3" s="33"/>
      <c r="I3" s="34"/>
      <c r="J3" s="34"/>
      <c r="K3" s="31"/>
      <c r="L3" s="32" t="s">
        <v>244</v>
      </c>
      <c r="M3" s="32"/>
      <c r="N3" s="32"/>
      <c r="O3" s="35"/>
      <c r="P3" s="36"/>
      <c r="Q3" s="32"/>
      <c r="R3" s="32" t="s">
        <v>434</v>
      </c>
      <c r="S3" s="37" t="n">
        <f aca="false">FALSE()</f>
        <v>0</v>
      </c>
      <c r="T3" s="32"/>
      <c r="U3" s="38"/>
      <c r="V3" s="38"/>
      <c r="W3" s="38"/>
      <c r="X3" s="38"/>
      <c r="Y3" s="38"/>
      <c r="Z3" s="32" t="s">
        <v>435</v>
      </c>
      <c r="AA3" s="39" t="b">
        <f aca="false">FALSE()</f>
        <v>0</v>
      </c>
      <c r="AB3" s="39" t="b">
        <f aca="false">FALSE()</f>
        <v>0</v>
      </c>
      <c r="AC3" s="32"/>
      <c r="AH3" s="27" t="str">
        <f aca="false">IF(AK3="จบงานแล้ว","จบงานแล้ว",IF(K3="","In Transit",IF(K3&lt;=J3,"On Time","Delayed")))</f>
        <v>In Transit</v>
      </c>
      <c r="AI3" s="26" t="str">
        <f aca="false">IFERROR(IF(AND(ISNUMBER(U3),ISNUMBER(X3)),X3-U3,""),"")</f>
        <v/>
      </c>
      <c r="AJ3" s="26" t="str">
        <f aca="false">IF(AND(J3&lt;&gt;"",K3&lt;&gt;""),MAX(0,K3-J3),"")</f>
        <v/>
      </c>
      <c r="AK3" s="27" t="str">
        <f aca="false">IF(OR(ISNUMBER(SEARCH("เคลียร์สินค้าและจัดส่งสินค้าแล้ว",Z3)),ISNUMBER(SEARCH("เคลียร์สินค้าเรียบร้อย",Z3)),ISNUMBER(SEARCH("เคลียร์สินค้าและจัดส่งแล้ว",Z3)),ISNUMBER(SEARCH("จัดส่งสินค้าแล้ว",Z3))), "จบงานแล้ว", "")</f>
        <v/>
      </c>
      <c r="AL3" s="40"/>
      <c r="AM3" s="41"/>
      <c r="AN3" s="42"/>
      <c r="AO3" s="41"/>
      <c r="AP3" s="127"/>
      <c r="AQ3" s="127"/>
      <c r="AR3" s="127"/>
    </row>
    <row r="4" s="24" customFormat="true" ht="15" hidden="false" customHeight="false" outlineLevel="0" collapsed="false">
      <c r="A4" s="16" t="n">
        <v>3</v>
      </c>
      <c r="B4" s="17" t="s">
        <v>436</v>
      </c>
      <c r="C4" s="17" t="s">
        <v>437</v>
      </c>
      <c r="D4" s="17" t="s">
        <v>438</v>
      </c>
      <c r="E4" s="17" t="s">
        <v>130</v>
      </c>
      <c r="F4" s="17" t="s">
        <v>54</v>
      </c>
      <c r="G4" s="17" t="s">
        <v>439</v>
      </c>
      <c r="H4" s="18" t="s">
        <v>43</v>
      </c>
      <c r="I4" s="19" t="n">
        <v>46078</v>
      </c>
      <c r="J4" s="19" t="n">
        <v>46086</v>
      </c>
      <c r="K4" s="16"/>
      <c r="L4" s="17" t="s">
        <v>244</v>
      </c>
      <c r="M4" s="17"/>
      <c r="N4" s="17" t="s">
        <v>196</v>
      </c>
      <c r="O4" s="20" t="s">
        <v>440</v>
      </c>
      <c r="P4" s="21" t="s">
        <v>196</v>
      </c>
      <c r="Q4" s="17" t="s">
        <v>441</v>
      </c>
      <c r="R4" s="17" t="s">
        <v>196</v>
      </c>
      <c r="S4" s="43" t="n">
        <f aca="false">FALSE()</f>
        <v>0</v>
      </c>
      <c r="T4" s="17" t="s">
        <v>50</v>
      </c>
      <c r="U4" s="23" t="s">
        <v>43</v>
      </c>
      <c r="V4" s="23" t="n">
        <v>46086</v>
      </c>
      <c r="W4" s="23" t="s">
        <v>43</v>
      </c>
      <c r="X4" s="23" t="n">
        <v>46086</v>
      </c>
      <c r="Y4" s="23" t="n">
        <v>46088</v>
      </c>
      <c r="Z4" s="17" t="s">
        <v>365</v>
      </c>
      <c r="AA4" s="22" t="b">
        <f aca="false">FALSE()</f>
        <v>0</v>
      </c>
      <c r="AB4" s="22" t="b">
        <f aca="false">FALSE()</f>
        <v>0</v>
      </c>
      <c r="AC4" s="17"/>
      <c r="AH4" s="93" t="str">
        <f aca="false">IF(AK4="จบงานแล้ว","จบงานแล้ว",IF(K4="","In Transit",IF(K4&lt;=J4,"On Time","Delayed")))</f>
        <v>จบงานแล้ว</v>
      </c>
      <c r="AI4" s="26" t="str">
        <f aca="false">IFERROR(IF(AND(ISNUMBER(U4),ISNUMBER(X4)),X4-U4,""),"")</f>
        <v/>
      </c>
      <c r="AJ4" s="26" t="str">
        <f aca="false">IF(AND(J4&lt;&gt;"",K4&lt;&gt;""),MAX(0,K4-J4),"")</f>
        <v/>
      </c>
      <c r="AK4" s="27" t="str">
        <f aca="false">IF(OR(ISNUMBER(SEARCH("เคลียร์สินค้าและจัดส่งสินค้าแล้ว",Z4)),ISNUMBER(SEARCH("เคลียร์สินค้าเรียบร้อย",Z4)),ISNUMBER(SEARCH("เคลียร์สินค้าและจัดส่งแล้ว",Z4)),ISNUMBER(SEARCH("จัดส่งสินค้าแล้ว",Z4))), "จบงานแล้ว", "")</f>
        <v>จบงานแล้ว</v>
      </c>
      <c r="AL4" s="28"/>
      <c r="AM4" s="29"/>
      <c r="AN4" s="30"/>
      <c r="AO4" s="29"/>
      <c r="AP4" s="127"/>
      <c r="AQ4" s="127"/>
      <c r="AR4" s="127"/>
    </row>
    <row r="5" s="24" customFormat="true" ht="15" hidden="false" customHeight="false" outlineLevel="0" collapsed="false">
      <c r="A5" s="31" t="n">
        <v>4</v>
      </c>
      <c r="B5" s="32" t="s">
        <v>288</v>
      </c>
      <c r="C5" s="32" t="s">
        <v>442</v>
      </c>
      <c r="D5" s="32" t="s">
        <v>108</v>
      </c>
      <c r="E5" s="32" t="s">
        <v>443</v>
      </c>
      <c r="F5" s="32" t="s">
        <v>54</v>
      </c>
      <c r="G5" s="32" t="s">
        <v>120</v>
      </c>
      <c r="H5" s="33"/>
      <c r="I5" s="34" t="n">
        <v>46091</v>
      </c>
      <c r="J5" s="34" t="s">
        <v>196</v>
      </c>
      <c r="K5" s="31"/>
      <c r="L5" s="32" t="s">
        <v>44</v>
      </c>
      <c r="M5" s="32"/>
      <c r="N5" s="32" t="s">
        <v>444</v>
      </c>
      <c r="O5" s="35" t="s">
        <v>196</v>
      </c>
      <c r="P5" s="36" t="s">
        <v>196</v>
      </c>
      <c r="Q5" s="32"/>
      <c r="R5" s="32" t="s">
        <v>445</v>
      </c>
      <c r="S5" s="37" t="n">
        <f aca="false">FALSE()</f>
        <v>0</v>
      </c>
      <c r="T5" s="32"/>
      <c r="U5" s="38"/>
      <c r="V5" s="38"/>
      <c r="W5" s="38"/>
      <c r="X5" s="38"/>
      <c r="Y5" s="38"/>
      <c r="Z5" s="32"/>
      <c r="AA5" s="39" t="b">
        <f aca="false">FALSE()</f>
        <v>0</v>
      </c>
      <c r="AB5" s="39" t="b">
        <f aca="false">FALSE()</f>
        <v>0</v>
      </c>
      <c r="AC5" s="32"/>
      <c r="AH5" s="93" t="str">
        <f aca="false">IF(AK5="จบงานแล้ว","จบงานแล้ว",IF(K5="","In Transit",IF(K5&lt;=J5,"On Time","Delayed")))</f>
        <v>In Transit</v>
      </c>
      <c r="AI5" s="26" t="str">
        <f aca="false">IFERROR(IF(AND(ISNUMBER(U5),ISNUMBER(X5)),X5-U5,""),"")</f>
        <v/>
      </c>
      <c r="AJ5" s="26" t="str">
        <f aca="false">IF(AND(J5&lt;&gt;"",K5&lt;&gt;""),MAX(0,K5-J5),"")</f>
        <v/>
      </c>
      <c r="AK5" s="27" t="str">
        <f aca="false">IF(OR(ISNUMBER(SEARCH("เคลียร์สินค้าและจัดส่งสินค้าแล้ว",Z5)),ISNUMBER(SEARCH("เคลียร์สินค้าเรียบร้อย",Z5)),ISNUMBER(SEARCH("เคลียร์สินค้าและจัดส่งแล้ว",Z5)),ISNUMBER(SEARCH("จัดส่งสินค้าแล้ว",Z5))), "จบงานแล้ว", "")</f>
        <v/>
      </c>
      <c r="AL5" s="40"/>
      <c r="AM5" s="41"/>
      <c r="AN5" s="42"/>
      <c r="AO5" s="41"/>
      <c r="AP5" s="127"/>
      <c r="AQ5" s="127"/>
      <c r="AR5" s="127"/>
    </row>
    <row r="6" s="24" customFormat="true" ht="15" hidden="false" customHeight="false" outlineLevel="0" collapsed="false">
      <c r="A6" s="16" t="n">
        <v>5</v>
      </c>
      <c r="B6" s="17" t="s">
        <v>446</v>
      </c>
      <c r="C6" s="17"/>
      <c r="D6" s="17" t="s">
        <v>447</v>
      </c>
      <c r="E6" s="17" t="s">
        <v>443</v>
      </c>
      <c r="F6" s="17" t="s">
        <v>54</v>
      </c>
      <c r="G6" s="17" t="s">
        <v>120</v>
      </c>
      <c r="H6" s="18"/>
      <c r="I6" s="19" t="s">
        <v>196</v>
      </c>
      <c r="J6" s="19" t="s">
        <v>196</v>
      </c>
      <c r="K6" s="16"/>
      <c r="L6" s="17" t="s">
        <v>44</v>
      </c>
      <c r="M6" s="17"/>
      <c r="N6" s="17" t="s">
        <v>448</v>
      </c>
      <c r="O6" s="17" t="s">
        <v>196</v>
      </c>
      <c r="P6" s="17" t="s">
        <v>196</v>
      </c>
      <c r="Q6" s="17"/>
      <c r="R6" s="17"/>
      <c r="S6" s="43" t="n">
        <f aca="false">FALSE()</f>
        <v>0</v>
      </c>
      <c r="T6" s="17"/>
      <c r="U6" s="23"/>
      <c r="V6" s="23"/>
      <c r="W6" s="23"/>
      <c r="X6" s="23"/>
      <c r="Y6" s="23"/>
      <c r="Z6" s="17" t="s">
        <v>449</v>
      </c>
      <c r="AA6" s="22" t="b">
        <f aca="false">FALSE()</f>
        <v>0</v>
      </c>
      <c r="AB6" s="22" t="b">
        <f aca="false">FALSE()</f>
        <v>0</v>
      </c>
      <c r="AC6" s="17"/>
      <c r="AH6" s="93" t="str">
        <f aca="false">IF(AK6="จบงานแล้ว","จบงานแล้ว",IF(K6="","In Transit",IF(K6&lt;=J6,"On Time","Delayed")))</f>
        <v>In Transit</v>
      </c>
      <c r="AI6" s="26" t="str">
        <f aca="false">IFERROR(IF(AND(ISNUMBER(U6),ISNUMBER(X6)),X6-U6,""),"")</f>
        <v/>
      </c>
      <c r="AJ6" s="26" t="str">
        <f aca="false">IF(AND(J6&lt;&gt;"",K6&lt;&gt;""),MAX(0,K6-J6),"")</f>
        <v/>
      </c>
      <c r="AK6" s="27" t="str">
        <f aca="false">IF(OR(ISNUMBER(SEARCH("เคลียร์สินค้าและจัดส่งสินค้าแล้ว",Z6)),ISNUMBER(SEARCH("เคลียร์สินค้าเรียบร้อย",Z6)),ISNUMBER(SEARCH("เคลียร์สินค้าและจัดส่งแล้ว",Z6)),ISNUMBER(SEARCH("จัดส่งสินค้าแล้ว",Z6))), "จบงานแล้ว", "")</f>
        <v/>
      </c>
      <c r="AL6" s="28"/>
      <c r="AM6" s="29"/>
      <c r="AN6" s="30"/>
      <c r="AO6" s="29"/>
      <c r="AP6" s="127"/>
      <c r="AQ6" s="127"/>
      <c r="AR6" s="127"/>
    </row>
    <row r="7" s="24" customFormat="true" ht="15" hidden="false" customHeight="false" outlineLevel="0" collapsed="false">
      <c r="A7" s="31" t="n">
        <v>6</v>
      </c>
      <c r="B7" s="32" t="s">
        <v>106</v>
      </c>
      <c r="C7" s="32" t="s">
        <v>450</v>
      </c>
      <c r="D7" s="32" t="s">
        <v>447</v>
      </c>
      <c r="E7" s="32" t="s">
        <v>443</v>
      </c>
      <c r="F7" s="32" t="s">
        <v>54</v>
      </c>
      <c r="G7" s="32" t="s">
        <v>451</v>
      </c>
      <c r="H7" s="33" t="s">
        <v>43</v>
      </c>
      <c r="I7" s="34" t="n">
        <v>46087</v>
      </c>
      <c r="J7" s="34" t="n">
        <v>46097</v>
      </c>
      <c r="K7" s="31"/>
      <c r="L7" s="32" t="s">
        <v>244</v>
      </c>
      <c r="M7" s="32" t="s">
        <v>452</v>
      </c>
      <c r="N7" s="32" t="s">
        <v>453</v>
      </c>
      <c r="O7" s="35" t="s">
        <v>454</v>
      </c>
      <c r="P7" s="36" t="s">
        <v>455</v>
      </c>
      <c r="Q7" s="32" t="s">
        <v>456</v>
      </c>
      <c r="R7" s="32" t="s">
        <v>457</v>
      </c>
      <c r="S7" s="37" t="n">
        <f aca="false">TRUE()</f>
        <v>1</v>
      </c>
      <c r="T7" s="32" t="s">
        <v>77</v>
      </c>
      <c r="U7" s="38" t="s">
        <v>196</v>
      </c>
      <c r="V7" s="38" t="n">
        <v>46090</v>
      </c>
      <c r="W7" s="38" t="s">
        <v>196</v>
      </c>
      <c r="X7" s="38" t="s">
        <v>196</v>
      </c>
      <c r="Y7" s="38" t="s">
        <v>196</v>
      </c>
      <c r="Z7" s="32" t="s">
        <v>458</v>
      </c>
      <c r="AA7" s="39" t="b">
        <f aca="false">FALSE()</f>
        <v>0</v>
      </c>
      <c r="AB7" s="39" t="b">
        <f aca="false">FALSE()</f>
        <v>0</v>
      </c>
      <c r="AC7" s="32"/>
      <c r="AD7" s="128"/>
      <c r="AE7" s="128"/>
      <c r="AF7" s="128"/>
      <c r="AG7" s="129"/>
      <c r="AH7" s="93" t="str">
        <f aca="false">IF(AK7="จบงานแล้ว","จบงานแล้ว",IF(K7="","In Transit",IF(K7&lt;=J7,"On Time","Delayed")))</f>
        <v>In Transit</v>
      </c>
      <c r="AI7" s="26" t="str">
        <f aca="false">IFERROR(IF(AND(ISNUMBER(U7),ISNUMBER(X7)),X7-U7,""),"")</f>
        <v/>
      </c>
      <c r="AJ7" s="26" t="str">
        <f aca="false">IF(AND(J7&lt;&gt;"",K7&lt;&gt;""),MAX(0,K7-J7),"")</f>
        <v/>
      </c>
      <c r="AK7" s="27" t="str">
        <f aca="false">IF(OR(ISNUMBER(SEARCH("เคลียร์สินค้าและจัดส่งสินค้าแล้ว",Z7)),ISNUMBER(SEARCH("เคลียร์สินค้าเรียบร้อย",Z7)),ISNUMBER(SEARCH("เคลียร์สินค้าและจัดส่งแล้ว",Z7)),ISNUMBER(SEARCH("จัดส่งสินค้าแล้ว",Z7))), "จบงานแล้ว", "")</f>
        <v/>
      </c>
      <c r="AL7" s="40"/>
      <c r="AM7" s="41"/>
      <c r="AN7" s="42"/>
      <c r="AO7" s="41"/>
      <c r="AP7" s="127"/>
      <c r="AQ7" s="127"/>
      <c r="AR7" s="127"/>
    </row>
    <row r="8" s="44" customFormat="true" ht="15" hidden="false" customHeight="false" outlineLevel="0" collapsed="false">
      <c r="A8" s="16" t="n">
        <v>7</v>
      </c>
      <c r="B8" s="17" t="s">
        <v>459</v>
      </c>
      <c r="C8" s="17" t="s">
        <v>460</v>
      </c>
      <c r="D8" s="17" t="s">
        <v>374</v>
      </c>
      <c r="E8" s="17" t="s">
        <v>40</v>
      </c>
      <c r="F8" s="17" t="s">
        <v>54</v>
      </c>
      <c r="G8" s="17" t="s">
        <v>120</v>
      </c>
      <c r="H8" s="18"/>
      <c r="I8" s="19"/>
      <c r="J8" s="19"/>
      <c r="K8" s="16"/>
      <c r="L8" s="17" t="s">
        <v>44</v>
      </c>
      <c r="M8" s="17"/>
      <c r="N8" s="17"/>
      <c r="O8" s="20"/>
      <c r="P8" s="21"/>
      <c r="Q8" s="17"/>
      <c r="R8" s="17" t="s">
        <v>461</v>
      </c>
      <c r="S8" s="43" t="n">
        <f aca="false">FALSE()</f>
        <v>0</v>
      </c>
      <c r="T8" s="17"/>
      <c r="U8" s="23"/>
      <c r="V8" s="23"/>
      <c r="W8" s="23"/>
      <c r="X8" s="23"/>
      <c r="Y8" s="23"/>
      <c r="Z8" s="17"/>
      <c r="AA8" s="22" t="b">
        <f aca="false">FALSE()</f>
        <v>0</v>
      </c>
      <c r="AB8" s="22" t="b">
        <f aca="false">FALSE()</f>
        <v>0</v>
      </c>
      <c r="AC8" s="17"/>
      <c r="AH8" s="93" t="str">
        <f aca="false">IF(AK8="จบงานแล้ว","จบงานแล้ว",IF(K8="","In Transit",IF(K8&lt;=J8,"On Time","Delayed")))</f>
        <v>In Transit</v>
      </c>
      <c r="AI8" s="26" t="str">
        <f aca="false">IFERROR(IF(AND(ISNUMBER(U8),ISNUMBER(X8)),X8-U8,""),"")</f>
        <v/>
      </c>
      <c r="AJ8" s="26" t="str">
        <f aca="false">IF(AND(J8&lt;&gt;"",K8&lt;&gt;""),MAX(0,K8-J8),"")</f>
        <v/>
      </c>
      <c r="AK8" s="27" t="str">
        <f aca="false">IF(OR(ISNUMBER(SEARCH("เคลียร์สินค้าและจัดส่งสินค้าแล้ว",Z8)),ISNUMBER(SEARCH("เคลียร์สินค้าเรียบร้อย",Z8)),ISNUMBER(SEARCH("เคลียร์สินค้าและจัดส่งแล้ว",Z8)),ISNUMBER(SEARCH("จัดส่งสินค้าแล้ว",Z8))), "จบงานแล้ว", "")</f>
        <v/>
      </c>
      <c r="AL8" s="28"/>
      <c r="AM8" s="29"/>
      <c r="AN8" s="30"/>
      <c r="AO8" s="29"/>
      <c r="AP8" s="130"/>
      <c r="AQ8" s="130"/>
      <c r="AR8" s="130"/>
    </row>
    <row r="9" s="55" customFormat="true" ht="15" hidden="false" customHeight="false" outlineLevel="0" collapsed="false">
      <c r="A9" s="31" t="n">
        <v>8</v>
      </c>
      <c r="B9" s="32" t="s">
        <v>459</v>
      </c>
      <c r="C9" s="32" t="s">
        <v>462</v>
      </c>
      <c r="D9" s="32" t="s">
        <v>108</v>
      </c>
      <c r="E9" s="32" t="s">
        <v>40</v>
      </c>
      <c r="F9" s="32" t="s">
        <v>54</v>
      </c>
      <c r="G9" s="32" t="s">
        <v>120</v>
      </c>
      <c r="H9" s="33"/>
      <c r="I9" s="34"/>
      <c r="J9" s="34"/>
      <c r="K9" s="31"/>
      <c r="L9" s="32"/>
      <c r="M9" s="32"/>
      <c r="N9" s="32"/>
      <c r="O9" s="35"/>
      <c r="P9" s="36"/>
      <c r="Q9" s="32"/>
      <c r="R9" s="32" t="s">
        <v>463</v>
      </c>
      <c r="S9" s="37" t="n">
        <f aca="false">FALSE()</f>
        <v>0</v>
      </c>
      <c r="T9" s="32"/>
      <c r="U9" s="38"/>
      <c r="V9" s="38"/>
      <c r="W9" s="38"/>
      <c r="X9" s="38"/>
      <c r="Y9" s="38"/>
      <c r="Z9" s="32"/>
      <c r="AA9" s="39" t="b">
        <f aca="false">FALSE()</f>
        <v>0</v>
      </c>
      <c r="AB9" s="39" t="b">
        <f aca="false">FALSE()</f>
        <v>0</v>
      </c>
      <c r="AC9" s="32" t="s">
        <v>464</v>
      </c>
      <c r="AH9" s="93" t="str">
        <f aca="false">IF(AK9="จบงานแล้ว","จบงานแล้ว",IF(K9="","In Transit",IF(K9&lt;=J9,"On Time","Delayed")))</f>
        <v>In Transit</v>
      </c>
      <c r="AI9" s="26" t="str">
        <f aca="false">IFERROR(IF(AND(ISNUMBER(U9),ISNUMBER(X9)),X9-U9,""),"")</f>
        <v/>
      </c>
      <c r="AJ9" s="26" t="str">
        <f aca="false">IF(AND(J9&lt;&gt;"",K9&lt;&gt;""),MAX(0,K9-J9),"")</f>
        <v/>
      </c>
      <c r="AK9" s="27" t="str">
        <f aca="false">IF(OR(ISNUMBER(SEARCH("เคลียร์สินค้าและจัดส่งสินค้าแล้ว",Z9)),ISNUMBER(SEARCH("เคลียร์สินค้าเรียบร้อย",Z9)),ISNUMBER(SEARCH("เคลียร์สินค้าและจัดส่งแล้ว",Z9)),ISNUMBER(SEARCH("จัดส่งสินค้าแล้ว",Z9))), "จบงานแล้ว", "")</f>
        <v/>
      </c>
      <c r="AL9" s="40"/>
      <c r="AM9" s="41"/>
      <c r="AN9" s="42"/>
      <c r="AO9" s="41"/>
      <c r="AS9" s="131"/>
    </row>
    <row r="10" s="132" customFormat="true" ht="15" hidden="false" customHeight="false" outlineLevel="0" collapsed="false">
      <c r="A10" s="16" t="n">
        <v>9</v>
      </c>
      <c r="B10" s="17" t="s">
        <v>465</v>
      </c>
      <c r="C10" s="17" t="s">
        <v>145</v>
      </c>
      <c r="D10" s="17" t="s">
        <v>129</v>
      </c>
      <c r="E10" s="17" t="s">
        <v>130</v>
      </c>
      <c r="F10" s="17" t="s">
        <v>54</v>
      </c>
      <c r="G10" s="17" t="s">
        <v>466</v>
      </c>
      <c r="H10" s="18"/>
      <c r="I10" s="19"/>
      <c r="J10" s="19"/>
      <c r="K10" s="16"/>
      <c r="L10" s="17" t="s">
        <v>44</v>
      </c>
      <c r="M10" s="17"/>
      <c r="N10" s="17"/>
      <c r="O10" s="20"/>
      <c r="P10" s="21"/>
      <c r="Q10" s="17"/>
      <c r="R10" s="17" t="s">
        <v>467</v>
      </c>
      <c r="S10" s="43" t="n">
        <f aca="false">FALSE()</f>
        <v>0</v>
      </c>
      <c r="T10" s="17"/>
      <c r="U10" s="23"/>
      <c r="V10" s="23"/>
      <c r="W10" s="23"/>
      <c r="X10" s="23"/>
      <c r="Y10" s="23"/>
      <c r="Z10" s="17"/>
      <c r="AA10" s="22" t="b">
        <f aca="false">FALSE()</f>
        <v>0</v>
      </c>
      <c r="AB10" s="22" t="b">
        <f aca="false">FALSE()</f>
        <v>0</v>
      </c>
      <c r="AC10" s="17"/>
      <c r="AD10" s="128"/>
      <c r="AE10" s="128"/>
      <c r="AF10" s="128"/>
      <c r="AG10" s="129"/>
      <c r="AH10" s="93" t="str">
        <f aca="false">IF(AK10="จบงานแล้ว","จบงานแล้ว",IF(K10="","In Transit",IF(K10&lt;=J10,"On Time","Delayed")))</f>
        <v>In Transit</v>
      </c>
      <c r="AI10" s="26" t="str">
        <f aca="false">IFERROR(IF(AND(ISNUMBER(U10),ISNUMBER(X10)),X10-U10,""),"")</f>
        <v/>
      </c>
      <c r="AJ10" s="26" t="str">
        <f aca="false">IF(AND(J10&lt;&gt;"",K10&lt;&gt;""),MAX(0,K10-J10),"")</f>
        <v/>
      </c>
      <c r="AK10" s="27" t="str">
        <f aca="false">IF(OR(ISNUMBER(SEARCH("เคลียร์สินค้าและจัดส่งสินค้าแล้ว",Z10)),ISNUMBER(SEARCH("เคลียร์สินค้าเรียบร้อย",Z10)),ISNUMBER(SEARCH("เคลียร์สินค้าและจัดส่งแล้ว",Z10)),ISNUMBER(SEARCH("จัดส่งสินค้าแล้ว",Z10))), "จบงานแล้ว", "")</f>
        <v/>
      </c>
      <c r="AL10" s="28"/>
      <c r="AM10" s="29"/>
      <c r="AN10" s="30"/>
      <c r="AO10" s="29"/>
      <c r="AP10" s="55"/>
      <c r="AQ10" s="55"/>
      <c r="AR10" s="55"/>
      <c r="AS10" s="131"/>
    </row>
    <row r="11" s="132" customFormat="true" ht="15" hidden="false" customHeight="false" outlineLevel="0" collapsed="false">
      <c r="A11" s="31" t="n">
        <v>10</v>
      </c>
      <c r="B11" s="32" t="s">
        <v>106</v>
      </c>
      <c r="C11" s="32" t="s">
        <v>468</v>
      </c>
      <c r="D11" s="32" t="s">
        <v>96</v>
      </c>
      <c r="E11" s="32" t="s">
        <v>40</v>
      </c>
      <c r="F11" s="32" t="s">
        <v>54</v>
      </c>
      <c r="G11" s="32" t="s">
        <v>120</v>
      </c>
      <c r="H11" s="33" t="s">
        <v>43</v>
      </c>
      <c r="I11" s="34" t="n">
        <v>46068</v>
      </c>
      <c r="J11" s="34" t="n">
        <v>46089</v>
      </c>
      <c r="K11" s="31"/>
      <c r="L11" s="32" t="s">
        <v>98</v>
      </c>
      <c r="M11" s="32" t="s">
        <v>233</v>
      </c>
      <c r="N11" s="32" t="s">
        <v>469</v>
      </c>
      <c r="O11" s="35" t="s">
        <v>470</v>
      </c>
      <c r="P11" s="36" t="s">
        <v>471</v>
      </c>
      <c r="Q11" s="32" t="s">
        <v>472</v>
      </c>
      <c r="R11" s="32" t="s">
        <v>473</v>
      </c>
      <c r="S11" s="37" t="n">
        <f aca="false">TRUE()</f>
        <v>1</v>
      </c>
      <c r="T11" s="32" t="s">
        <v>77</v>
      </c>
      <c r="U11" s="38" t="n">
        <v>46087</v>
      </c>
      <c r="V11" s="38" t="n">
        <v>46087</v>
      </c>
      <c r="W11" s="38" t="n">
        <v>46087</v>
      </c>
      <c r="X11" s="38" t="n">
        <v>46098</v>
      </c>
      <c r="Y11" s="38" t="n">
        <v>46099</v>
      </c>
      <c r="Z11" s="32" t="s">
        <v>474</v>
      </c>
      <c r="AA11" s="39" t="b">
        <f aca="false">TRUE()</f>
        <v>1</v>
      </c>
      <c r="AB11" s="39" t="b">
        <f aca="false">TRUE()</f>
        <v>1</v>
      </c>
      <c r="AC11" s="32"/>
      <c r="AH11" s="93" t="str">
        <f aca="false">IF(AK11="จบงานแล้ว","จบงานแล้ว",IF(K11="","In Transit",IF(K11&lt;=J11,"On Time","Delayed")))</f>
        <v>In Transit</v>
      </c>
      <c r="AI11" s="26" t="n">
        <f aca="false">IFERROR(IF(AND(ISNUMBER(U11),ISNUMBER(X11)),X11-U11,""),"")</f>
        <v>11</v>
      </c>
      <c r="AJ11" s="26" t="str">
        <f aca="false">IF(AND(J11&lt;&gt;"",K11&lt;&gt;""),MAX(0,K11-J11),"")</f>
        <v/>
      </c>
      <c r="AK11" s="27" t="str">
        <f aca="false">IF(OR(ISNUMBER(SEARCH("เคลียร์สินค้าและจัดส่งสินค้าแล้ว",Z11)),ISNUMBER(SEARCH("เคลียร์สินค้าเรียบร้อย",Z11)),ISNUMBER(SEARCH("เคลียร์สินค้าและจัดส่งแล้ว",Z11)),ISNUMBER(SEARCH("จัดส่งสินค้าแล้ว",Z11))), "จบงานแล้ว", "")</f>
        <v/>
      </c>
      <c r="AL11" s="40"/>
      <c r="AM11" s="41"/>
      <c r="AN11" s="42"/>
      <c r="AO11" s="41"/>
      <c r="AP11" s="55"/>
      <c r="AQ11" s="55"/>
      <c r="AR11" s="55"/>
      <c r="AS11" s="131"/>
    </row>
    <row r="12" s="54" customFormat="true" ht="15" hidden="false" customHeight="false" outlineLevel="0" collapsed="false">
      <c r="A12" s="16" t="n">
        <v>11</v>
      </c>
      <c r="B12" s="17" t="s">
        <v>106</v>
      </c>
      <c r="C12" s="17" t="s">
        <v>475</v>
      </c>
      <c r="D12" s="17" t="s">
        <v>447</v>
      </c>
      <c r="E12" s="17" t="s">
        <v>40</v>
      </c>
      <c r="F12" s="17" t="s">
        <v>54</v>
      </c>
      <c r="G12" s="17" t="s">
        <v>120</v>
      </c>
      <c r="H12" s="18" t="s">
        <v>43</v>
      </c>
      <c r="I12" s="19" t="n">
        <v>46074</v>
      </c>
      <c r="J12" s="19" t="n">
        <v>46082</v>
      </c>
      <c r="K12" s="16"/>
      <c r="L12" s="17" t="s">
        <v>98</v>
      </c>
      <c r="M12" s="17" t="s">
        <v>233</v>
      </c>
      <c r="N12" s="17" t="s">
        <v>476</v>
      </c>
      <c r="O12" s="20" t="s">
        <v>477</v>
      </c>
      <c r="P12" s="21" t="s">
        <v>218</v>
      </c>
      <c r="Q12" s="17" t="s">
        <v>478</v>
      </c>
      <c r="R12" s="17" t="s">
        <v>479</v>
      </c>
      <c r="S12" s="22" t="b">
        <f aca="false">TRUE()</f>
        <v>1</v>
      </c>
      <c r="T12" s="17" t="s">
        <v>77</v>
      </c>
      <c r="U12" s="23" t="n">
        <v>46087</v>
      </c>
      <c r="V12" s="23" t="n">
        <v>46087</v>
      </c>
      <c r="W12" s="23" t="n">
        <v>46087</v>
      </c>
      <c r="X12" s="23" t="n">
        <v>46092</v>
      </c>
      <c r="Y12" s="23" t="n">
        <v>46093</v>
      </c>
      <c r="Z12" s="17" t="s">
        <v>480</v>
      </c>
      <c r="AA12" s="22" t="b">
        <f aca="false">TRUE()</f>
        <v>1</v>
      </c>
      <c r="AB12" s="22" t="b">
        <f aca="false">TRUE()</f>
        <v>1</v>
      </c>
      <c r="AC12" s="17"/>
      <c r="AH12" s="93" t="str">
        <f aca="false">IF(AK12="จบงานแล้ว","จบงานแล้ว",IF(K12="","In Transit",IF(K12&lt;=J12,"On Time","Delayed")))</f>
        <v>In Transit</v>
      </c>
      <c r="AI12" s="26" t="n">
        <f aca="false">IFERROR(IF(AND(ISNUMBER(U12),ISNUMBER(X12)),X12-U12,""),"")</f>
        <v>5</v>
      </c>
      <c r="AJ12" s="26" t="str">
        <f aca="false">IF(AND(J12&lt;&gt;"",K12&lt;&gt;""),MAX(0,K12-J12),"")</f>
        <v/>
      </c>
      <c r="AK12" s="27" t="str">
        <f aca="false">IF(OR(ISNUMBER(SEARCH("เคลียร์สินค้าและจัดส่งสินค้าแล้ว",Z12)),ISNUMBER(SEARCH("เคลียร์สินค้าเรียบร้อย",Z12)),ISNUMBER(SEARCH("เคลียร์สินค้าและจัดส่งแล้ว",Z12)),ISNUMBER(SEARCH("จัดส่งสินค้าแล้ว",Z12))), "จบงานแล้ว", "")</f>
        <v/>
      </c>
      <c r="AL12" s="28"/>
      <c r="AM12" s="29"/>
      <c r="AN12" s="30"/>
      <c r="AO12" s="29"/>
      <c r="AP12" s="55"/>
      <c r="AQ12" s="55"/>
      <c r="AR12" s="55"/>
      <c r="AS12" s="131"/>
    </row>
    <row r="13" s="134" customFormat="true" ht="15" hidden="false" customHeight="false" outlineLevel="0" collapsed="false">
      <c r="A13" s="31" t="n">
        <v>12</v>
      </c>
      <c r="B13" s="32" t="s">
        <v>481</v>
      </c>
      <c r="C13" s="32" t="s">
        <v>215</v>
      </c>
      <c r="D13" s="32" t="s">
        <v>108</v>
      </c>
      <c r="E13" s="32" t="s">
        <v>130</v>
      </c>
      <c r="F13" s="32" t="s">
        <v>54</v>
      </c>
      <c r="G13" s="32" t="s">
        <v>120</v>
      </c>
      <c r="H13" s="33" t="s">
        <v>43</v>
      </c>
      <c r="I13" s="34"/>
      <c r="J13" s="34"/>
      <c r="K13" s="31"/>
      <c r="L13" s="32"/>
      <c r="M13" s="32"/>
      <c r="N13" s="32"/>
      <c r="O13" s="133"/>
      <c r="P13" s="133"/>
      <c r="Q13" s="32"/>
      <c r="R13" s="32"/>
      <c r="S13" s="37" t="n">
        <f aca="false">FALSE()</f>
        <v>0</v>
      </c>
      <c r="T13" s="32"/>
      <c r="U13" s="38"/>
      <c r="V13" s="38"/>
      <c r="W13" s="38"/>
      <c r="X13" s="38"/>
      <c r="Y13" s="38"/>
      <c r="Z13" s="32"/>
      <c r="AA13" s="39" t="b">
        <f aca="false">FALSE()</f>
        <v>0</v>
      </c>
      <c r="AB13" s="39" t="b">
        <f aca="false">FALSE()</f>
        <v>0</v>
      </c>
      <c r="AC13" s="32"/>
      <c r="AD13" s="128"/>
      <c r="AE13" s="128"/>
      <c r="AF13" s="128"/>
      <c r="AG13" s="129"/>
      <c r="AH13" s="93" t="str">
        <f aca="false">IF(AK13="จบงานแล้ว","จบงานแล้ว",IF(K13="","In Transit",IF(K13&lt;=J13,"On Time","Delayed")))</f>
        <v>In Transit</v>
      </c>
      <c r="AI13" s="26" t="str">
        <f aca="false">IFERROR(IF(AND(ISNUMBER(U13),ISNUMBER(X13)),X13-U13,""),"")</f>
        <v/>
      </c>
      <c r="AJ13" s="26" t="str">
        <f aca="false">IF(AND(J13&lt;&gt;"",K13&lt;&gt;""),MAX(0,K13-J13),"")</f>
        <v/>
      </c>
      <c r="AK13" s="27" t="str">
        <f aca="false">IF(OR(ISNUMBER(SEARCH("เคลียร์สินค้าและจัดส่งสินค้าแล้ว",Z13)),ISNUMBER(SEARCH("เคลียร์สินค้าเรียบร้อย",Z13)),ISNUMBER(SEARCH("เคลียร์สินค้าและจัดส่งแล้ว",Z13)),ISNUMBER(SEARCH("จัดส่งสินค้าแล้ว",Z13))), "จบงานแล้ว", "")</f>
        <v/>
      </c>
      <c r="AL13" s="40"/>
      <c r="AM13" s="41"/>
      <c r="AN13" s="42"/>
      <c r="AO13" s="41"/>
      <c r="AP13" s="55"/>
      <c r="AQ13" s="55"/>
      <c r="AR13" s="55"/>
      <c r="AS13" s="131"/>
    </row>
    <row r="14" customFormat="false" ht="15" hidden="false" customHeight="false" outlineLevel="0" collapsed="false">
      <c r="A14" s="135" t="n">
        <v>13</v>
      </c>
      <c r="B14" s="135"/>
      <c r="C14" s="135"/>
      <c r="D14" s="135"/>
      <c r="E14" s="135"/>
      <c r="F14" s="135"/>
      <c r="G14" s="135"/>
      <c r="H14" s="136" t="s">
        <v>43</v>
      </c>
      <c r="I14" s="136"/>
      <c r="J14" s="136"/>
      <c r="K14" s="135"/>
      <c r="L14" s="135"/>
      <c r="M14" s="135"/>
      <c r="N14" s="135"/>
      <c r="O14" s="137"/>
      <c r="P14" s="138"/>
      <c r="Q14" s="135"/>
      <c r="R14" s="135"/>
      <c r="S14" s="139" t="n">
        <f aca="false">FALSE()</f>
        <v>0</v>
      </c>
      <c r="T14" s="135"/>
      <c r="U14" s="140"/>
      <c r="V14" s="140"/>
      <c r="W14" s="140"/>
      <c r="X14" s="140"/>
      <c r="Y14" s="140"/>
      <c r="Z14" s="141"/>
      <c r="AA14" s="142" t="b">
        <f aca="false">FALSE()</f>
        <v>0</v>
      </c>
      <c r="AB14" s="143" t="b">
        <f aca="false">FALSE()</f>
        <v>0</v>
      </c>
      <c r="AC14" s="144"/>
      <c r="AD14" s="128"/>
      <c r="AE14" s="128"/>
      <c r="AF14" s="128"/>
      <c r="AG14" s="129"/>
      <c r="AH14" s="129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131"/>
    </row>
    <row r="15" customFormat="false" ht="21.75" hidden="false" customHeight="true" outlineLevel="0" collapsed="false">
      <c r="A15" s="56" t="s">
        <v>482</v>
      </c>
      <c r="B15" s="56"/>
      <c r="C15" s="56"/>
      <c r="D15" s="56"/>
      <c r="E15" s="56"/>
      <c r="F15" s="56"/>
      <c r="G15" s="56"/>
      <c r="H15" s="56"/>
      <c r="I15" s="145"/>
      <c r="J15" s="145"/>
      <c r="K15" s="146"/>
      <c r="L15" s="146"/>
      <c r="M15" s="146"/>
      <c r="N15" s="146"/>
      <c r="O15" s="147"/>
      <c r="P15" s="148"/>
      <c r="Q15" s="146"/>
      <c r="R15" s="149"/>
      <c r="S15" s="150" t="n">
        <f aca="false">FALSE()</f>
        <v>0</v>
      </c>
      <c r="T15" s="146"/>
      <c r="U15" s="151"/>
      <c r="V15" s="151"/>
      <c r="W15" s="151"/>
      <c r="X15" s="151"/>
      <c r="Y15" s="151"/>
      <c r="Z15" s="152"/>
      <c r="AA15" s="153" t="b">
        <f aca="false">FALSE()</f>
        <v>0</v>
      </c>
      <c r="AB15" s="154" t="b">
        <f aca="false">FALSE()</f>
        <v>0</v>
      </c>
      <c r="AC15" s="155"/>
      <c r="AH15" s="129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131"/>
    </row>
    <row r="16" customFormat="false" ht="19.5" hidden="false" customHeight="true" outlineLevel="0" collapsed="false">
      <c r="A16" s="61" t="s">
        <v>342</v>
      </c>
      <c r="B16" s="61"/>
      <c r="C16" s="62" t="n">
        <f aca="false">COUNTA(B2:B13)</f>
        <v>12</v>
      </c>
      <c r="D16" s="54"/>
      <c r="E16" s="54"/>
      <c r="F16" s="54"/>
      <c r="G16" s="54"/>
      <c r="H16" s="57"/>
      <c r="I16" s="57"/>
      <c r="J16" s="57"/>
      <c r="K16" s="54"/>
      <c r="L16" s="54"/>
      <c r="M16" s="54"/>
      <c r="N16" s="54"/>
      <c r="O16" s="58"/>
      <c r="P16" s="59"/>
      <c r="Q16" s="54"/>
      <c r="R16" s="54" t="s">
        <v>483</v>
      </c>
      <c r="S16" s="54"/>
      <c r="T16" s="54"/>
      <c r="U16" s="60"/>
      <c r="V16" s="60"/>
      <c r="W16" s="60"/>
      <c r="X16" s="60"/>
      <c r="Y16" s="60"/>
      <c r="Z16" s="54"/>
      <c r="AA16" s="54"/>
      <c r="AB16" s="54"/>
      <c r="AC16" s="54"/>
      <c r="AD16" s="54"/>
      <c r="AE16" s="54"/>
      <c r="AF16" s="54"/>
      <c r="AG16" s="54"/>
      <c r="AH16" s="131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131"/>
    </row>
    <row r="17" customFormat="false" ht="19.5" hidden="false" customHeight="true" outlineLevel="0" collapsed="false">
      <c r="A17" s="63" t="s">
        <v>343</v>
      </c>
      <c r="B17" s="63"/>
      <c r="C17" s="62" t="n">
        <f aca="false">COUNTIF(AH2:AH13,"On Time")</f>
        <v>0</v>
      </c>
      <c r="D17" s="54"/>
      <c r="E17" s="54"/>
      <c r="F17" s="54"/>
      <c r="G17" s="54"/>
      <c r="H17" s="57"/>
      <c r="I17" s="57"/>
      <c r="J17" s="57"/>
      <c r="K17" s="54"/>
      <c r="L17" s="54"/>
      <c r="M17" s="54"/>
      <c r="N17" s="54"/>
      <c r="O17" s="58"/>
      <c r="P17" s="59"/>
      <c r="Q17" s="54"/>
      <c r="R17" s="54"/>
      <c r="S17" s="54"/>
      <c r="T17" s="54"/>
      <c r="U17" s="60"/>
      <c r="V17" s="60"/>
      <c r="W17" s="60"/>
      <c r="X17" s="60"/>
      <c r="Y17" s="60"/>
      <c r="Z17" s="54"/>
      <c r="AA17" s="54"/>
      <c r="AB17" s="54"/>
      <c r="AC17" s="54"/>
      <c r="AD17" s="54"/>
      <c r="AE17" s="54"/>
      <c r="AF17" s="54"/>
      <c r="AG17" s="54"/>
      <c r="AH17" s="131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131"/>
    </row>
    <row r="18" s="159" customFormat="true" ht="19.5" hidden="false" customHeight="true" outlineLevel="0" collapsed="false">
      <c r="A18" s="64" t="s">
        <v>344</v>
      </c>
      <c r="B18" s="64"/>
      <c r="C18" s="62" t="n">
        <f aca="false">COUNTIF(AH2:AH13,"Delayed")</f>
        <v>0</v>
      </c>
      <c r="D18" s="54"/>
      <c r="E18" s="54"/>
      <c r="F18" s="54"/>
      <c r="G18" s="54"/>
      <c r="H18" s="57"/>
      <c r="I18" s="57"/>
      <c r="J18" s="57"/>
      <c r="K18" s="54"/>
      <c r="L18" s="54"/>
      <c r="M18" s="54"/>
      <c r="N18" s="54"/>
      <c r="O18" s="58"/>
      <c r="P18" s="59"/>
      <c r="Q18" s="54"/>
      <c r="R18" s="54"/>
      <c r="S18" s="54"/>
      <c r="T18" s="54"/>
      <c r="U18" s="60"/>
      <c r="V18" s="60"/>
      <c r="W18" s="60"/>
      <c r="X18" s="60"/>
      <c r="Y18" s="60"/>
      <c r="Z18" s="54"/>
      <c r="AA18" s="54"/>
      <c r="AB18" s="54"/>
      <c r="AC18" s="54"/>
      <c r="AD18" s="54"/>
      <c r="AE18" s="54"/>
      <c r="AF18" s="54"/>
      <c r="AG18" s="54"/>
      <c r="AH18" s="156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8"/>
    </row>
    <row r="19" s="2" customFormat="true" ht="19.5" hidden="false" customHeight="true" outlineLevel="0" collapsed="false">
      <c r="A19" s="65" t="s">
        <v>345</v>
      </c>
      <c r="B19" s="65"/>
      <c r="C19" s="62" t="n">
        <f aca="false">COUNTIF(AH2:AH13,"In Transit")</f>
        <v>11</v>
      </c>
      <c r="D19" s="54"/>
      <c r="E19" s="54"/>
      <c r="F19" s="54"/>
      <c r="G19" s="54"/>
      <c r="H19" s="57"/>
      <c r="I19" s="57"/>
      <c r="J19" s="57"/>
      <c r="K19" s="54"/>
      <c r="L19" s="54"/>
      <c r="M19" s="54"/>
      <c r="N19" s="54"/>
      <c r="O19" s="58"/>
      <c r="P19" s="59"/>
      <c r="Q19" s="54"/>
      <c r="R19" s="54"/>
      <c r="S19" s="54"/>
      <c r="T19" s="54"/>
      <c r="U19" s="60"/>
      <c r="V19" s="60"/>
      <c r="W19" s="60"/>
      <c r="X19" s="60"/>
      <c r="Y19" s="60"/>
      <c r="Z19" s="54"/>
      <c r="AA19" s="54"/>
      <c r="AB19" s="54"/>
      <c r="AC19" s="54"/>
      <c r="AD19" s="54"/>
      <c r="AE19" s="54"/>
      <c r="AF19" s="54"/>
      <c r="AG19" s="54"/>
      <c r="AH19" s="156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8"/>
    </row>
    <row r="20" s="2" customFormat="true" ht="19.5" hidden="false" customHeight="true" outlineLevel="0" collapsed="false">
      <c r="A20" s="66" t="s">
        <v>346</v>
      </c>
      <c r="B20" s="66"/>
      <c r="C20" s="62" t="n">
        <f aca="false">COUNTIF(AH2:AH13,"จบงานแล้ว")</f>
        <v>1</v>
      </c>
      <c r="D20" s="54"/>
      <c r="E20" s="54"/>
      <c r="F20" s="54"/>
      <c r="G20" s="54"/>
      <c r="H20" s="57"/>
      <c r="I20" s="57"/>
      <c r="J20" s="57"/>
      <c r="K20" s="54"/>
      <c r="L20" s="54"/>
      <c r="M20" s="54"/>
      <c r="N20" s="54"/>
      <c r="O20" s="58"/>
      <c r="P20" s="59"/>
      <c r="Q20" s="54"/>
      <c r="R20" s="54"/>
      <c r="S20" s="54"/>
      <c r="T20" s="54"/>
      <c r="U20" s="60"/>
      <c r="V20" s="60"/>
      <c r="W20" s="60"/>
      <c r="X20" s="60"/>
      <c r="Y20" s="60"/>
      <c r="Z20" s="54"/>
      <c r="AA20" s="54"/>
      <c r="AB20" s="54"/>
      <c r="AC20" s="54"/>
      <c r="AD20" s="54"/>
      <c r="AE20" s="54"/>
      <c r="AF20" s="54"/>
      <c r="AG20" s="54"/>
    </row>
    <row r="21" s="2" customFormat="true" ht="19.5" hidden="false" customHeight="true" outlineLevel="0" collapsed="false">
      <c r="A21" s="61" t="s">
        <v>347</v>
      </c>
      <c r="B21" s="61"/>
      <c r="C21" s="67" t="n">
        <f aca="false">IFERROR(COUNTIF(AH2:AH13,"On Time")/COUNTA(AH2:AH13),"N/A")</f>
        <v>0</v>
      </c>
      <c r="D21" s="54"/>
      <c r="E21" s="54"/>
      <c r="F21" s="54"/>
      <c r="G21" s="54"/>
      <c r="H21" s="57"/>
      <c r="I21" s="57"/>
      <c r="J21" s="57"/>
      <c r="K21" s="54"/>
      <c r="L21" s="54"/>
      <c r="M21" s="54"/>
      <c r="N21" s="54"/>
      <c r="O21" s="58"/>
      <c r="P21" s="59"/>
      <c r="Q21" s="54"/>
      <c r="R21" s="54"/>
      <c r="S21" s="54"/>
      <c r="T21" s="54"/>
      <c r="U21" s="60"/>
      <c r="V21" s="60"/>
      <c r="W21" s="60"/>
      <c r="X21" s="60"/>
      <c r="Y21" s="60"/>
      <c r="Z21" s="54"/>
      <c r="AA21" s="54"/>
      <c r="AB21" s="54"/>
      <c r="AC21" s="54"/>
      <c r="AD21" s="54"/>
      <c r="AE21" s="54"/>
      <c r="AF21" s="54"/>
      <c r="AG21" s="54"/>
    </row>
    <row r="22" s="2" customFormat="true" ht="19.5" hidden="false" customHeight="true" outlineLevel="0" collapsed="false">
      <c r="A22" s="61" t="s">
        <v>348</v>
      </c>
      <c r="B22" s="61"/>
      <c r="C22" s="68" t="n">
        <f aca="false">IFERROR(AVERAGEIF(AI2:AI13,"&lt;&gt;"&amp;"",AI2:AI13),"N/A")</f>
        <v>8</v>
      </c>
      <c r="D22" s="54"/>
      <c r="E22" s="54"/>
      <c r="F22" s="54"/>
      <c r="G22" s="54"/>
      <c r="H22" s="57"/>
      <c r="I22" s="57"/>
      <c r="J22" s="57"/>
      <c r="K22" s="54"/>
      <c r="L22" s="54"/>
      <c r="M22" s="54"/>
      <c r="N22" s="54"/>
      <c r="O22" s="58"/>
      <c r="P22" s="59"/>
      <c r="Q22" s="54"/>
      <c r="R22" s="54"/>
      <c r="S22" s="54"/>
      <c r="T22" s="54"/>
      <c r="U22" s="60"/>
      <c r="V22" s="60"/>
      <c r="W22" s="60"/>
      <c r="X22" s="60"/>
      <c r="Y22" s="60"/>
      <c r="Z22" s="54"/>
      <c r="AA22" s="54"/>
      <c r="AB22" s="54"/>
      <c r="AC22" s="54"/>
      <c r="AD22" s="54"/>
      <c r="AE22" s="54"/>
      <c r="AF22" s="54"/>
      <c r="AG22" s="54"/>
    </row>
    <row r="23" s="2" customFormat="true" ht="19.5" hidden="false" customHeight="true" outlineLevel="0" collapsed="false">
      <c r="A23" s="61" t="s">
        <v>349</v>
      </c>
      <c r="B23" s="61"/>
      <c r="C23" s="68" t="str">
        <f aca="false">IFERROR(AVERAGEIF(AJ2:AJ13,"&gt;"&amp;0,AJ2:AJ13),"N/A")</f>
        <v>N/A</v>
      </c>
      <c r="D23" s="54"/>
      <c r="E23" s="54"/>
      <c r="F23" s="54"/>
      <c r="G23" s="54"/>
      <c r="H23" s="57"/>
      <c r="I23" s="57"/>
      <c r="J23" s="57"/>
      <c r="K23" s="54"/>
      <c r="L23" s="54"/>
      <c r="M23" s="54"/>
      <c r="N23" s="54"/>
      <c r="O23" s="58"/>
      <c r="P23" s="59"/>
      <c r="Q23" s="54"/>
      <c r="R23" s="54"/>
      <c r="S23" s="54"/>
      <c r="T23" s="54"/>
      <c r="U23" s="60"/>
      <c r="V23" s="60"/>
      <c r="W23" s="60"/>
      <c r="X23" s="60"/>
      <c r="Y23" s="60"/>
      <c r="Z23" s="54"/>
      <c r="AA23" s="54"/>
      <c r="AB23" s="54"/>
      <c r="AC23" s="54"/>
      <c r="AD23" s="54"/>
      <c r="AE23" s="54"/>
      <c r="AF23" s="54"/>
      <c r="AG23" s="54"/>
    </row>
    <row r="24" s="2" customFormat="true" ht="19.5" hidden="false" customHeight="true" outlineLevel="0" collapsed="false">
      <c r="A24" s="69" t="s">
        <v>350</v>
      </c>
      <c r="B24" s="69"/>
      <c r="C24" s="62" t="n">
        <f aca="false">IFERROR(COUNTA(AO2:AO13),0)</f>
        <v>0</v>
      </c>
      <c r="H24" s="1"/>
      <c r="I24" s="1"/>
      <c r="J24" s="1"/>
      <c r="O24" s="3"/>
      <c r="P24" s="4"/>
      <c r="U24" s="5"/>
      <c r="V24" s="5"/>
      <c r="W24" s="5"/>
      <c r="X24" s="5"/>
      <c r="Y24" s="5"/>
      <c r="AH24" s="156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8"/>
    </row>
    <row r="25" customFormat="false" ht="19.5" hidden="false" customHeight="true" outlineLevel="0" collapsed="false">
      <c r="A25" s="63" t="s">
        <v>351</v>
      </c>
      <c r="B25" s="63"/>
      <c r="C25" s="62" t="n">
        <f aca="false">COUNTIF(AO2:AO13,"Paid")</f>
        <v>0</v>
      </c>
      <c r="AH25" s="156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8"/>
    </row>
    <row r="26" customFormat="false" ht="19.5" hidden="false" customHeight="true" outlineLevel="0" collapsed="false">
      <c r="A26" s="64" t="s">
        <v>352</v>
      </c>
      <c r="B26" s="64"/>
      <c r="C26" s="62" t="n">
        <f aca="false">COUNTIF(AO2:AO13,"Unpaid")+COUNTIF(AO2:AO13,"Pending")</f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customFormat="false" ht="19.5" hidden="false" customHeight="true" outlineLevel="0" collapsed="false">
      <c r="A27" s="69" t="s">
        <v>353</v>
      </c>
      <c r="B27" s="69"/>
      <c r="C27" s="70" t="n">
        <f aca="false">IFERROR(SUM(AN2:AN13),0)</f>
        <v>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customFormat="false" ht="19.5" hidden="false" customHeight="true" outlineLevel="0" collapsed="false">
      <c r="A28" s="63" t="s">
        <v>354</v>
      </c>
      <c r="B28" s="63"/>
      <c r="C28" s="70" t="n">
        <f aca="false">IFERROR(SUMIF(AO2:AO13,"Paid",AN2:AN13),0)</f>
        <v>0</v>
      </c>
      <c r="AH28" s="160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24"/>
    </row>
    <row r="29" customFormat="false" ht="19.5" hidden="false" customHeight="true" outlineLevel="0" collapsed="false">
      <c r="A29" s="64" t="s">
        <v>355</v>
      </c>
      <c r="B29" s="64"/>
      <c r="C29" s="70" t="n">
        <f aca="false">IFERROR(SUMIF(AO2:AO13,"Unpaid",AN2:AN13)+SUMIF(AO2:AO13,"Pending",AN2:AN13),0)</f>
        <v>0</v>
      </c>
      <c r="AH29" s="160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24"/>
    </row>
    <row r="30" customFormat="false" ht="15" hidden="false" customHeight="false" outlineLevel="0" collapsed="false">
      <c r="AH30" s="160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24"/>
    </row>
    <row r="31" customFormat="false" ht="15" hidden="false" customHeight="false" outlineLevel="0" collapsed="false">
      <c r="AH31" s="160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24"/>
    </row>
    <row r="32" customFormat="false" ht="15" hidden="false" customHeight="false" outlineLevel="0" collapsed="false">
      <c r="AH32" s="160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24"/>
    </row>
    <row r="33" customFormat="false" ht="15" hidden="false" customHeight="false" outlineLevel="0" collapsed="false">
      <c r="AH33" s="160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24"/>
    </row>
    <row r="34" customFormat="false" ht="15" hidden="false" customHeight="false" outlineLevel="0" collapsed="false">
      <c r="AH34" s="160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24"/>
    </row>
    <row r="35" customFormat="false" ht="15" hidden="false" customHeight="false" outlineLevel="0" collapsed="false">
      <c r="AH35" s="160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24"/>
    </row>
    <row r="36" customFormat="false" ht="15" hidden="false" customHeight="false" outlineLevel="0" collapsed="false">
      <c r="AH36" s="160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24"/>
    </row>
    <row r="37" customFormat="false" ht="15" hidden="false" customHeight="false" outlineLevel="0" collapsed="false">
      <c r="AH37" s="160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24"/>
    </row>
    <row r="38" customFormat="false" ht="15" hidden="false" customHeight="false" outlineLevel="0" collapsed="false">
      <c r="AH38" s="160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24"/>
    </row>
    <row r="39" customFormat="false" ht="15" hidden="false" customHeight="false" outlineLevel="0" collapsed="false">
      <c r="AH39" s="160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24"/>
    </row>
    <row r="40" customFormat="false" ht="15" hidden="false" customHeight="false" outlineLevel="0" collapsed="false">
      <c r="AH40" s="160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24"/>
    </row>
    <row r="41" customFormat="false" ht="15" hidden="false" customHeight="false" outlineLevel="0" collapsed="false">
      <c r="AH41" s="160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24"/>
    </row>
    <row r="42" customFormat="false" ht="15" hidden="false" customHeight="false" outlineLevel="0" collapsed="false">
      <c r="AH42" s="160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24"/>
    </row>
    <row r="43" customFormat="false" ht="15" hidden="false" customHeight="false" outlineLevel="0" collapsed="false">
      <c r="AH43" s="160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24"/>
    </row>
    <row r="44" s="161" customFormat="true" ht="15" hidden="false" customHeight="false" outlineLevel="0" collapsed="false">
      <c r="H44" s="1"/>
      <c r="I44" s="1"/>
      <c r="J44" s="1"/>
      <c r="O44" s="3"/>
      <c r="P44" s="4"/>
      <c r="U44" s="5"/>
      <c r="V44" s="5"/>
      <c r="W44" s="5"/>
      <c r="X44" s="5"/>
      <c r="Y44" s="5"/>
    </row>
  </sheetData>
  <autoFilter ref="A1:AB16">
    <sortState ref="A2:AB16">
      <sortCondition ref="A2:A16" customList=""/>
    </sortState>
  </autoFilter>
  <mergeCells count="15">
    <mergeCell ref="A15:H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conditionalFormatting sqref="AH2:AH13">
    <cfRule type="expression" priority="2" aboveAverage="0" equalAverage="0" bottom="0" percent="0" rank="0" text="" dxfId="4">
      <formula>AH2="On Time"</formula>
    </cfRule>
    <cfRule type="expression" priority="3" aboveAverage="0" equalAverage="0" bottom="0" percent="0" rank="0" text="" dxfId="5">
      <formula>AH2="Delayed"</formula>
    </cfRule>
    <cfRule type="expression" priority="4" aboveAverage="0" equalAverage="0" bottom="0" percent="0" rank="0" text="" dxfId="6">
      <formula>AH2="In Transit"</formula>
    </cfRule>
    <cfRule type="expression" priority="5" aboveAverage="0" equalAverage="0" bottom="0" percent="0" rank="0" text="" dxfId="7">
      <formula>AH2="จบงานแล้ว"</formula>
    </cfRule>
  </conditionalFormatting>
  <conditionalFormatting sqref="AK2:AK13">
    <cfRule type="expression" priority="6" aboveAverage="0" equalAverage="0" bottom="0" percent="0" rank="0" text="" dxfId="7">
      <formula>AK2="จบงานแล้ว"</formula>
    </cfRule>
  </conditionalFormatting>
  <conditionalFormatting sqref="AI2:AI13">
    <cfRule type="cellIs" priority="7" operator="lessThanOrEqual" aboveAverage="0" equalAverage="0" bottom="0" percent="0" rank="0" text="" dxfId="4">
      <formula>5</formula>
    </cfRule>
    <cfRule type="cellIs" priority="8" operator="greaterThan" aboveAverage="0" equalAverage="0" bottom="0" percent="0" rank="0" text="" dxfId="5">
      <formula>10</formula>
    </cfRule>
  </conditionalFormatting>
  <conditionalFormatting sqref="AJ2:AJ13">
    <cfRule type="cellIs" priority="9" operator="greaterThan" aboveAverage="0" equalAverage="0" bottom="0" percent="0" rank="0" text="" dxfId="5">
      <formula>0</formula>
    </cfRule>
  </conditionalFormatting>
  <conditionalFormatting sqref="AO2:AO13">
    <cfRule type="expression" priority="10" aboveAverage="0" equalAverage="0" bottom="0" percent="0" rank="0" text="" dxfId="4">
      <formula>AO2="Paid"</formula>
    </cfRule>
    <cfRule type="expression" priority="11" aboveAverage="0" equalAverage="0" bottom="0" percent="0" rank="0" text="" dxfId="5">
      <formula>AO2="Unpaid"</formula>
    </cfRule>
    <cfRule type="expression" priority="12" aboveAverage="0" equalAverage="0" bottom="0" percent="0" rank="0" text="" dxfId="6">
      <formula>AO2="Pending"</formula>
    </cfRule>
  </conditionalFormatting>
  <dataValidations count="1">
    <dataValidation allowBlank="true" error="กรุณาเลือก: Paid, Unpaid หรือ Pending" errorStyle="stop" errorTitle="ค่าไม่ถูกต้อง" operator="between" showDropDown="false" showErrorMessage="false" showInputMessage="false" sqref="AO2:AO13" type="list">
      <formula1>"Paid,Unpaid,Pending"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2:AQ3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T12" activeCellId="0" sqref="T12"/>
    </sheetView>
  </sheetViews>
  <sheetFormatPr defaultColWidth="8.6796875" defaultRowHeight="15" zeroHeight="false" outlineLevelRow="0" outlineLevelCol="0"/>
  <cols>
    <col collapsed="false" customWidth="true" hidden="false" outlineLevel="0" max="1" min="1" style="71" width="6.29"/>
    <col collapsed="false" customWidth="true" hidden="false" outlineLevel="0" max="2" min="2" style="71" width="16"/>
    <col collapsed="false" customWidth="true" hidden="false" outlineLevel="0" max="3" min="3" style="71" width="24.29"/>
    <col collapsed="false" customWidth="true" hidden="false" outlineLevel="0" max="4" min="4" style="71" width="9.71"/>
    <col collapsed="false" customWidth="true" hidden="false" outlineLevel="0" max="5" min="5" style="71" width="9.14"/>
    <col collapsed="false" customWidth="true" hidden="false" outlineLevel="0" max="6" min="6" style="71" width="11.29"/>
    <col collapsed="false" customWidth="true" hidden="false" outlineLevel="0" max="7" min="7" style="71" width="22.57"/>
    <col collapsed="false" customWidth="true" hidden="false" outlineLevel="0" max="8" min="8" style="72" width="13.15"/>
    <col collapsed="false" customWidth="true" hidden="false" outlineLevel="0" max="9" min="9" style="72" width="12.42"/>
    <col collapsed="false" customWidth="true" hidden="false" outlineLevel="0" max="10" min="10" style="72" width="11.85"/>
    <col collapsed="false" customWidth="true" hidden="false" outlineLevel="0" max="11" min="11" style="71" width="10.42"/>
    <col collapsed="false" customWidth="true" hidden="false" outlineLevel="0" max="12" min="12" style="71" width="10.85"/>
    <col collapsed="false" customWidth="true" hidden="false" outlineLevel="0" max="13" min="13" style="71" width="13.15"/>
    <col collapsed="false" customWidth="true" hidden="false" outlineLevel="0" max="14" min="14" style="71" width="18"/>
    <col collapsed="false" customWidth="true" hidden="false" outlineLevel="0" max="15" min="15" style="71" width="52.86"/>
    <col collapsed="false" customWidth="true" hidden="false" outlineLevel="0" max="16" min="16" style="71" width="19.42"/>
    <col collapsed="false" customWidth="true" hidden="false" outlineLevel="0" max="17" min="17" style="71" width="15.85"/>
    <col collapsed="false" customWidth="true" hidden="false" outlineLevel="0" max="18" min="18" style="73" width="15.85"/>
    <col collapsed="false" customWidth="true" hidden="false" outlineLevel="0" max="19" min="19" style="73" width="12.15"/>
    <col collapsed="false" customWidth="true" hidden="false" outlineLevel="0" max="20" min="20" style="73" width="12.71"/>
    <col collapsed="false" customWidth="true" hidden="false" outlineLevel="0" max="21" min="21" style="73" width="13.71"/>
    <col collapsed="false" customWidth="true" hidden="false" outlineLevel="0" max="22" min="22" style="73" width="13.29"/>
    <col collapsed="false" customWidth="true" hidden="false" outlineLevel="0" max="23" min="23" style="71" width="24"/>
    <col collapsed="false" customWidth="true" hidden="false" outlineLevel="0" max="25" min="24" style="71" width="9.14"/>
    <col collapsed="false" customWidth="true" hidden="false" outlineLevel="0" max="29" min="26" style="0" width="13"/>
    <col collapsed="false" customWidth="true" hidden="false" outlineLevel="0" max="33" min="30" style="0" width="14"/>
  </cols>
  <sheetData>
    <row r="2" s="80" customFormat="true" ht="33.75" hidden="false" customHeight="true" outlineLevel="0" collapsed="false">
      <c r="A2" s="74" t="s">
        <v>0</v>
      </c>
      <c r="B2" s="74" t="s">
        <v>1</v>
      </c>
      <c r="C2" s="74" t="s">
        <v>2</v>
      </c>
      <c r="D2" s="74" t="s">
        <v>3</v>
      </c>
      <c r="E2" s="74" t="s">
        <v>4</v>
      </c>
      <c r="F2" s="74" t="s">
        <v>5</v>
      </c>
      <c r="G2" s="74" t="s">
        <v>6</v>
      </c>
      <c r="H2" s="75" t="s">
        <v>7</v>
      </c>
      <c r="I2" s="75" t="s">
        <v>8</v>
      </c>
      <c r="J2" s="75" t="s">
        <v>9</v>
      </c>
      <c r="K2" s="74" t="s">
        <v>13</v>
      </c>
      <c r="L2" s="76" t="s">
        <v>14</v>
      </c>
      <c r="M2" s="74" t="s">
        <v>15</v>
      </c>
      <c r="N2" s="74" t="s">
        <v>16</v>
      </c>
      <c r="O2" s="74" t="s">
        <v>17</v>
      </c>
      <c r="P2" s="74" t="s">
        <v>18</v>
      </c>
      <c r="Q2" s="74" t="s">
        <v>19</v>
      </c>
      <c r="R2" s="77" t="s">
        <v>20</v>
      </c>
      <c r="S2" s="77" t="s">
        <v>21</v>
      </c>
      <c r="T2" s="77" t="s">
        <v>22</v>
      </c>
      <c r="U2" s="77" t="s">
        <v>23</v>
      </c>
      <c r="V2" s="77" t="s">
        <v>24</v>
      </c>
      <c r="W2" s="74" t="s">
        <v>25</v>
      </c>
      <c r="X2" s="74" t="s">
        <v>26</v>
      </c>
      <c r="Y2" s="74" t="s">
        <v>27</v>
      </c>
      <c r="Z2" s="78" t="s">
        <v>29</v>
      </c>
      <c r="AA2" s="78" t="s">
        <v>30</v>
      </c>
      <c r="AB2" s="78" t="s">
        <v>31</v>
      </c>
      <c r="AC2" s="14" t="s">
        <v>32</v>
      </c>
      <c r="AD2" s="15" t="s">
        <v>33</v>
      </c>
      <c r="AE2" s="15" t="s">
        <v>34</v>
      </c>
      <c r="AF2" s="15" t="s">
        <v>35</v>
      </c>
      <c r="AG2" s="15" t="s">
        <v>36</v>
      </c>
      <c r="AH2" s="79"/>
      <c r="AI2" s="79"/>
      <c r="AJ2" s="79"/>
      <c r="AK2" s="79"/>
      <c r="AL2" s="79"/>
      <c r="AM2" s="79"/>
      <c r="AN2" s="79"/>
      <c r="AO2" s="79"/>
      <c r="AP2" s="79"/>
    </row>
    <row r="3" s="162" customFormat="true" ht="16.5" hidden="false" customHeight="true" outlineLevel="0" collapsed="false">
      <c r="A3" s="31" t="n">
        <v>1</v>
      </c>
      <c r="B3" s="32" t="s">
        <v>356</v>
      </c>
      <c r="C3" s="32" t="s">
        <v>403</v>
      </c>
      <c r="D3" s="32" t="s">
        <v>404</v>
      </c>
      <c r="E3" s="32" t="s">
        <v>40</v>
      </c>
      <c r="F3" s="32" t="s">
        <v>41</v>
      </c>
      <c r="G3" s="32" t="s">
        <v>405</v>
      </c>
      <c r="H3" s="81"/>
      <c r="I3" s="38" t="n">
        <v>46086</v>
      </c>
      <c r="J3" s="38" t="n">
        <v>46086</v>
      </c>
      <c r="K3" s="32" t="n">
        <v>1</v>
      </c>
      <c r="L3" s="133" t="n">
        <v>151</v>
      </c>
      <c r="M3" s="32" t="n">
        <v>0.864</v>
      </c>
      <c r="N3" s="32" t="s">
        <v>484</v>
      </c>
      <c r="O3" s="32" t="s">
        <v>485</v>
      </c>
      <c r="P3" s="37" t="n">
        <f aca="false">TRUE()</f>
        <v>1</v>
      </c>
      <c r="Q3" s="32"/>
      <c r="R3" s="34"/>
      <c r="S3" s="34"/>
      <c r="T3" s="34"/>
      <c r="U3" s="34"/>
      <c r="V3" s="34"/>
      <c r="W3" s="32"/>
      <c r="X3" s="39" t="b">
        <f aca="false">FALSE()</f>
        <v>0</v>
      </c>
      <c r="Y3" s="39" t="b">
        <f aca="false">FALSE()</f>
        <v>0</v>
      </c>
      <c r="Z3" s="93" t="str">
        <f aca="false">IF(AC3="จบงานแล้ว","จบงานแล้ว",IF(J3="","In Transit",IF(J3&lt;=I3,"On Time","Delayed")))</f>
        <v>On Time</v>
      </c>
      <c r="AA3" s="26" t="str">
        <f aca="false">IFERROR(IF(AND(ISNUMBER(R3),ISNUMBER(U3)),U3-R3,""),"")</f>
        <v/>
      </c>
      <c r="AB3" s="26" t="n">
        <f aca="false">IF(AND(I3&lt;&gt;"",J3&lt;&gt;""),MAX(0,J3-I3),"")</f>
        <v>0</v>
      </c>
      <c r="AC3" s="27" t="str">
        <f aca="false">IF(OR(ISNUMBER(SEARCH("เคลียร์สินค้าและจัดส่งสินค้าแล้ว",W3)),ISNUMBER(SEARCH("เคลียร์สินค้าเรียบร้อย",W3)),ISNUMBER(SEARCH("เคลียร์สินค้าและจัดส่งแล้ว",W3)),ISNUMBER(SEARCH("จัดส่งสินค้าแล้ว",W3))), "จบงานแล้ว", "")</f>
        <v/>
      </c>
      <c r="AD3" s="40"/>
      <c r="AE3" s="41"/>
      <c r="AF3" s="42"/>
      <c r="AG3" s="41"/>
    </row>
    <row r="4" s="162" customFormat="true" ht="16.5" hidden="false" customHeight="true" outlineLevel="0" collapsed="false">
      <c r="A4" s="84" t="n">
        <v>2</v>
      </c>
      <c r="B4" s="85" t="s">
        <v>356</v>
      </c>
      <c r="C4" s="85" t="s">
        <v>403</v>
      </c>
      <c r="D4" s="85" t="s">
        <v>404</v>
      </c>
      <c r="E4" s="85" t="s">
        <v>40</v>
      </c>
      <c r="F4" s="85" t="s">
        <v>41</v>
      </c>
      <c r="G4" s="85" t="s">
        <v>405</v>
      </c>
      <c r="H4" s="86"/>
      <c r="I4" s="87" t="n">
        <v>46086</v>
      </c>
      <c r="J4" s="87" t="n">
        <v>46086</v>
      </c>
      <c r="K4" s="85" t="n">
        <v>1</v>
      </c>
      <c r="L4" s="95" t="n">
        <v>10</v>
      </c>
      <c r="M4" s="85" t="n">
        <v>0.062</v>
      </c>
      <c r="N4" s="85" t="s">
        <v>484</v>
      </c>
      <c r="O4" s="85" t="s">
        <v>486</v>
      </c>
      <c r="P4" s="88" t="n">
        <f aca="false">TRUE()</f>
        <v>1</v>
      </c>
      <c r="Q4" s="85" t="s">
        <v>50</v>
      </c>
      <c r="R4" s="89"/>
      <c r="S4" s="89"/>
      <c r="T4" s="89"/>
      <c r="U4" s="89"/>
      <c r="V4" s="89"/>
      <c r="W4" s="85"/>
      <c r="X4" s="90" t="b">
        <f aca="false">FALSE()</f>
        <v>0</v>
      </c>
      <c r="Y4" s="90" t="b">
        <f aca="false">FALSE()</f>
        <v>0</v>
      </c>
      <c r="Z4" s="93" t="str">
        <f aca="false">IF(AC4="จบงานแล้ว","จบงานแล้ว",IF(J4="","In Transit",IF(J4&lt;=I4,"On Time","Delayed")))</f>
        <v>On Time</v>
      </c>
      <c r="AA4" s="26" t="str">
        <f aca="false">IFERROR(IF(AND(ISNUMBER(R4),ISNUMBER(U4)),U4-R4,""),"")</f>
        <v/>
      </c>
      <c r="AB4" s="26" t="n">
        <f aca="false">IF(AND(I4&lt;&gt;"",J4&lt;&gt;""),MAX(0,J4-I4),"")</f>
        <v>0</v>
      </c>
      <c r="AC4" s="27" t="str">
        <f aca="false">IF(OR(ISNUMBER(SEARCH("เคลียร์สินค้าและจัดส่งสินค้าแล้ว",W4)),ISNUMBER(SEARCH("เคลียร์สินค้าเรียบร้อย",W4)),ISNUMBER(SEARCH("เคลียร์สินค้าและจัดส่งแล้ว",W4)),ISNUMBER(SEARCH("จัดส่งสินค้าแล้ว",W4))), "จบงานแล้ว", "")</f>
        <v/>
      </c>
      <c r="AD4" s="28"/>
      <c r="AE4" s="29"/>
      <c r="AF4" s="30"/>
      <c r="AG4" s="29"/>
    </row>
    <row r="5" s="83" customFormat="true" ht="15" hidden="false" customHeight="false" outlineLevel="0" collapsed="false">
      <c r="A5" s="31" t="n">
        <v>3</v>
      </c>
      <c r="B5" s="32" t="s">
        <v>356</v>
      </c>
      <c r="C5" s="32" t="s">
        <v>403</v>
      </c>
      <c r="D5" s="32" t="s">
        <v>404</v>
      </c>
      <c r="E5" s="32" t="s">
        <v>40</v>
      </c>
      <c r="F5" s="32" t="s">
        <v>41</v>
      </c>
      <c r="G5" s="32" t="s">
        <v>405</v>
      </c>
      <c r="H5" s="81"/>
      <c r="I5" s="38" t="n">
        <v>46082</v>
      </c>
      <c r="J5" s="38" t="n">
        <v>46082</v>
      </c>
      <c r="K5" s="32" t="n">
        <v>1</v>
      </c>
      <c r="L5" s="133" t="n">
        <v>266</v>
      </c>
      <c r="M5" s="32" t="n">
        <v>1.598</v>
      </c>
      <c r="N5" s="32" t="s">
        <v>487</v>
      </c>
      <c r="O5" s="32" t="s">
        <v>488</v>
      </c>
      <c r="P5" s="37" t="n">
        <f aca="false">TRUE()</f>
        <v>1</v>
      </c>
      <c r="Q5" s="32" t="s">
        <v>126</v>
      </c>
      <c r="R5" s="34" t="n">
        <v>46082</v>
      </c>
      <c r="S5" s="34" t="n">
        <v>46082</v>
      </c>
      <c r="T5" s="34" t="n">
        <v>46083</v>
      </c>
      <c r="U5" s="34"/>
      <c r="V5" s="34"/>
      <c r="W5" s="32" t="s">
        <v>489</v>
      </c>
      <c r="X5" s="39" t="b">
        <f aca="false">TRUE()</f>
        <v>1</v>
      </c>
      <c r="Y5" s="39" t="b">
        <f aca="false">TRUE()</f>
        <v>1</v>
      </c>
      <c r="Z5" s="93" t="str">
        <f aca="false">IF(AC5="จบงานแล้ว","จบงานแล้ว",IF(J5="","In Transit",IF(J5&lt;=I5,"On Time","Delayed")))</f>
        <v>On Time</v>
      </c>
      <c r="AA5" s="26" t="str">
        <f aca="false">IFERROR(IF(AND(ISNUMBER(R5),ISNUMBER(U5)),U5-R5,""),"")</f>
        <v/>
      </c>
      <c r="AB5" s="26" t="n">
        <f aca="false">IF(AND(I5&lt;&gt;"",J5&lt;&gt;""),MAX(0,J5-I5),"")</f>
        <v>0</v>
      </c>
      <c r="AC5" s="27" t="str">
        <f aca="false">IF(OR(ISNUMBER(SEARCH("เคลียร์สินค้าและจัดส่งสินค้าแล้ว",W5)),ISNUMBER(SEARCH("เคลียร์สินค้าเรียบร้อย",W5)),ISNUMBER(SEARCH("เคลียร์สินค้าและจัดส่งแล้ว",W5)),ISNUMBER(SEARCH("จัดส่งสินค้าแล้ว",W5))), "จบงานแล้ว", "")</f>
        <v/>
      </c>
      <c r="AD5" s="40"/>
      <c r="AE5" s="41"/>
      <c r="AF5" s="42"/>
      <c r="AG5" s="41"/>
      <c r="AH5" s="82"/>
      <c r="AI5" s="82"/>
      <c r="AJ5" s="82"/>
    </row>
    <row r="6" s="83" customFormat="true" ht="15" hidden="false" customHeight="false" outlineLevel="0" collapsed="false">
      <c r="A6" s="84" t="n">
        <v>4</v>
      </c>
      <c r="B6" s="85" t="s">
        <v>356</v>
      </c>
      <c r="C6" s="85" t="s">
        <v>403</v>
      </c>
      <c r="D6" s="85" t="s">
        <v>404</v>
      </c>
      <c r="E6" s="85" t="s">
        <v>40</v>
      </c>
      <c r="F6" s="85" t="s">
        <v>41</v>
      </c>
      <c r="G6" s="85" t="s">
        <v>405</v>
      </c>
      <c r="H6" s="86"/>
      <c r="I6" s="87" t="n">
        <v>46082</v>
      </c>
      <c r="J6" s="87" t="n">
        <v>46082</v>
      </c>
      <c r="K6" s="85" t="n">
        <v>1</v>
      </c>
      <c r="L6" s="95" t="n">
        <v>4</v>
      </c>
      <c r="M6" s="85" t="n">
        <v>0.026</v>
      </c>
      <c r="N6" s="85" t="s">
        <v>487</v>
      </c>
      <c r="O6" s="85" t="s">
        <v>490</v>
      </c>
      <c r="P6" s="88" t="n">
        <f aca="false">TRUE()</f>
        <v>1</v>
      </c>
      <c r="Q6" s="85" t="s">
        <v>126</v>
      </c>
      <c r="R6" s="89" t="n">
        <v>46082</v>
      </c>
      <c r="S6" s="89" t="n">
        <v>46082</v>
      </c>
      <c r="T6" s="89" t="n">
        <v>46083</v>
      </c>
      <c r="U6" s="89"/>
      <c r="V6" s="89"/>
      <c r="W6" s="85" t="s">
        <v>489</v>
      </c>
      <c r="X6" s="90" t="b">
        <f aca="false">TRUE()</f>
        <v>1</v>
      </c>
      <c r="Y6" s="90" t="b">
        <f aca="false">TRUE()</f>
        <v>1</v>
      </c>
      <c r="Z6" s="93" t="str">
        <f aca="false">IF(AC6="จบงานแล้ว","จบงานแล้ว",IF(J6="","In Transit",IF(J6&lt;=I6,"On Time","Delayed")))</f>
        <v>On Time</v>
      </c>
      <c r="AA6" s="26" t="str">
        <f aca="false">IFERROR(IF(AND(ISNUMBER(R6),ISNUMBER(U6)),U6-R6,""),"")</f>
        <v/>
      </c>
      <c r="AB6" s="26" t="n">
        <f aca="false">IF(AND(I6&lt;&gt;"",J6&lt;&gt;""),MAX(0,J6-I6),"")</f>
        <v>0</v>
      </c>
      <c r="AC6" s="27" t="str">
        <f aca="false">IF(OR(ISNUMBER(SEARCH("เคลียร์สินค้าและจัดส่งสินค้าแล้ว",W6)),ISNUMBER(SEARCH("เคลียร์สินค้าเรียบร้อย",W6)),ISNUMBER(SEARCH("เคลียร์สินค้าและจัดส่งแล้ว",W6)),ISNUMBER(SEARCH("จัดส่งสินค้าแล้ว",W6))), "จบงานแล้ว", "")</f>
        <v/>
      </c>
      <c r="AD6" s="28"/>
      <c r="AE6" s="29"/>
      <c r="AF6" s="30"/>
      <c r="AG6" s="29"/>
      <c r="AH6" s="82"/>
      <c r="AI6" s="82"/>
      <c r="AJ6" s="82"/>
    </row>
    <row r="7" s="45" customFormat="true" ht="15" hidden="false" customHeight="false" outlineLevel="0" collapsed="false">
      <c r="A7" s="31" t="n">
        <v>5</v>
      </c>
      <c r="B7" s="32" t="s">
        <v>356</v>
      </c>
      <c r="C7" s="32" t="s">
        <v>491</v>
      </c>
      <c r="D7" s="32" t="s">
        <v>404</v>
      </c>
      <c r="E7" s="32" t="s">
        <v>40</v>
      </c>
      <c r="F7" s="32" t="s">
        <v>54</v>
      </c>
      <c r="G7" s="32" t="s">
        <v>405</v>
      </c>
      <c r="H7" s="32"/>
      <c r="I7" s="38" t="n">
        <v>46083</v>
      </c>
      <c r="J7" s="38" t="n">
        <v>46083</v>
      </c>
      <c r="K7" s="32" t="n">
        <v>1</v>
      </c>
      <c r="L7" s="133" t="n">
        <v>75</v>
      </c>
      <c r="M7" s="32" t="n">
        <v>0.452</v>
      </c>
      <c r="N7" s="32" t="s">
        <v>484</v>
      </c>
      <c r="O7" s="32" t="s">
        <v>492</v>
      </c>
      <c r="P7" s="37" t="n">
        <f aca="false">TRUE()</f>
        <v>1</v>
      </c>
      <c r="Q7" s="32" t="s">
        <v>126</v>
      </c>
      <c r="R7" s="34"/>
      <c r="S7" s="34"/>
      <c r="T7" s="34" t="n">
        <v>46083</v>
      </c>
      <c r="U7" s="34"/>
      <c r="V7" s="34"/>
      <c r="W7" s="32" t="s">
        <v>489</v>
      </c>
      <c r="X7" s="37" t="n">
        <f aca="false">TRUE()</f>
        <v>1</v>
      </c>
      <c r="Y7" s="37" t="n">
        <f aca="false">TRUE()</f>
        <v>1</v>
      </c>
      <c r="Z7" s="93" t="str">
        <f aca="false">IF(AC7="จบงานแล้ว","จบงานแล้ว",IF(J7="","In Transit",IF(J7&lt;=I7,"On Time","Delayed")))</f>
        <v>On Time</v>
      </c>
      <c r="AA7" s="26" t="str">
        <f aca="false">IFERROR(IF(AND(ISNUMBER(R7),ISNUMBER(U7)),U7-R7,""),"")</f>
        <v/>
      </c>
      <c r="AB7" s="26" t="n">
        <f aca="false">IF(AND(I7&lt;&gt;"",J7&lt;&gt;""),MAX(0,J7-I7),"")</f>
        <v>0</v>
      </c>
      <c r="AC7" s="27" t="str">
        <f aca="false">IF(OR(ISNUMBER(SEARCH("เคลียร์สินค้าและจัดส่งสินค้าแล้ว",W7)),ISNUMBER(SEARCH("เคลียร์สินค้าเรียบร้อย",W7)),ISNUMBER(SEARCH("เคลียร์สินค้าและจัดส่งแล้ว",W7)),ISNUMBER(SEARCH("จัดส่งสินค้าแล้ว",W7))), "จบงานแล้ว", "")</f>
        <v/>
      </c>
      <c r="AD7" s="40"/>
      <c r="AE7" s="41"/>
      <c r="AF7" s="42"/>
      <c r="AG7" s="41"/>
      <c r="AH7" s="82"/>
      <c r="AI7" s="82"/>
      <c r="AJ7" s="82"/>
      <c r="AK7" s="83"/>
      <c r="AL7" s="83"/>
      <c r="AM7" s="83"/>
      <c r="AN7" s="83"/>
      <c r="AO7" s="83"/>
      <c r="AP7" s="83"/>
    </row>
    <row r="8" s="83" customFormat="true" ht="15" hidden="false" customHeight="false" outlineLevel="0" collapsed="false">
      <c r="A8" s="84" t="n">
        <v>6</v>
      </c>
      <c r="B8" s="85" t="s">
        <v>356</v>
      </c>
      <c r="C8" s="85" t="s">
        <v>493</v>
      </c>
      <c r="D8" s="85" t="s">
        <v>358</v>
      </c>
      <c r="E8" s="85" t="s">
        <v>40</v>
      </c>
      <c r="F8" s="85" t="s">
        <v>41</v>
      </c>
      <c r="G8" s="85" t="s">
        <v>451</v>
      </c>
      <c r="H8" s="86"/>
      <c r="I8" s="87" t="n">
        <v>46088</v>
      </c>
      <c r="J8" s="87" t="n">
        <v>46088</v>
      </c>
      <c r="K8" s="85" t="n">
        <v>8</v>
      </c>
      <c r="L8" s="95" t="n">
        <v>110</v>
      </c>
      <c r="M8" s="85"/>
      <c r="N8" s="85" t="s">
        <v>363</v>
      </c>
      <c r="O8" s="85" t="s">
        <v>494</v>
      </c>
      <c r="P8" s="88" t="n">
        <f aca="false">FALSE()</f>
        <v>0</v>
      </c>
      <c r="Q8" s="85"/>
      <c r="R8" s="84"/>
      <c r="S8" s="84"/>
      <c r="T8" s="89"/>
      <c r="U8" s="84"/>
      <c r="V8" s="89"/>
      <c r="W8" s="85"/>
      <c r="X8" s="90" t="b">
        <f aca="false">FALSE()</f>
        <v>0</v>
      </c>
      <c r="Y8" s="90" t="b">
        <f aca="false">FALSE()</f>
        <v>0</v>
      </c>
      <c r="Z8" s="93" t="str">
        <f aca="false">IF(AC8="จบงานแล้ว","จบงานแล้ว",IF(J8="","In Transit",IF(J8&lt;=I8,"On Time","Delayed")))</f>
        <v>On Time</v>
      </c>
      <c r="AA8" s="26" t="str">
        <f aca="false">IFERROR(IF(AND(ISNUMBER(R8),ISNUMBER(U8)),U8-R8,""),"")</f>
        <v/>
      </c>
      <c r="AB8" s="26" t="n">
        <f aca="false">IF(AND(I8&lt;&gt;"",J8&lt;&gt;""),MAX(0,J8-I8),"")</f>
        <v>0</v>
      </c>
      <c r="AC8" s="27" t="str">
        <f aca="false">IF(OR(ISNUMBER(SEARCH("เคลียร์สินค้าและจัดส่งสินค้าแล้ว",W8)),ISNUMBER(SEARCH("เคลียร์สินค้าเรียบร้อย",W8)),ISNUMBER(SEARCH("เคลียร์สินค้าและจัดส่งแล้ว",W8)),ISNUMBER(SEARCH("จัดส่งสินค้าแล้ว",W8))), "จบงานแล้ว", "")</f>
        <v/>
      </c>
      <c r="AD8" s="28"/>
      <c r="AE8" s="29"/>
      <c r="AF8" s="30"/>
      <c r="AG8" s="29"/>
      <c r="AH8" s="163"/>
      <c r="AI8" s="163"/>
      <c r="AJ8" s="163"/>
      <c r="AK8" s="164"/>
    </row>
    <row r="9" s="83" customFormat="true" ht="15" hidden="false" customHeight="false" outlineLevel="0" collapsed="false">
      <c r="A9" s="31" t="n">
        <v>7</v>
      </c>
      <c r="B9" s="32" t="s">
        <v>495</v>
      </c>
      <c r="C9" s="32" t="s">
        <v>496</v>
      </c>
      <c r="D9" s="32" t="s">
        <v>497</v>
      </c>
      <c r="E9" s="32" t="s">
        <v>40</v>
      </c>
      <c r="F9" s="32" t="s">
        <v>385</v>
      </c>
      <c r="G9" s="32" t="s">
        <v>498</v>
      </c>
      <c r="H9" s="81"/>
      <c r="I9" s="38" t="n">
        <v>46116</v>
      </c>
      <c r="J9" s="38" t="n">
        <v>46116</v>
      </c>
      <c r="K9" s="32" t="n">
        <v>29</v>
      </c>
      <c r="L9" s="133"/>
      <c r="M9" s="32"/>
      <c r="N9" s="32" t="s">
        <v>499</v>
      </c>
      <c r="O9" s="32"/>
      <c r="P9" s="37" t="n">
        <f aca="false">FALSE()</f>
        <v>0</v>
      </c>
      <c r="Q9" s="32"/>
      <c r="R9" s="31"/>
      <c r="S9" s="31"/>
      <c r="T9" s="34"/>
      <c r="U9" s="31"/>
      <c r="V9" s="34"/>
      <c r="W9" s="32" t="s">
        <v>500</v>
      </c>
      <c r="X9" s="39" t="b">
        <f aca="false">FALSE()</f>
        <v>0</v>
      </c>
      <c r="Y9" s="39" t="b">
        <f aca="false">TRUE()</f>
        <v>1</v>
      </c>
      <c r="Z9" s="165" t="str">
        <f aca="false">IF(AC9="จบงานแล้ว","จบงานแล้ว",IF(J9="","In Transit",IF(J9&lt;=I9,"On Time","Delayed")))</f>
        <v>จบงานแล้ว</v>
      </c>
      <c r="AA9" s="26" t="str">
        <f aca="false">IFERROR(IF(AND(ISNUMBER(R9),ISNUMBER(U9)),U9-R9,""),"")</f>
        <v/>
      </c>
      <c r="AB9" s="26" t="n">
        <f aca="false">IF(AND(I9&lt;&gt;"",J9&lt;&gt;""),MAX(0,J9-I9),"")</f>
        <v>0</v>
      </c>
      <c r="AC9" s="27" t="str">
        <f aca="false">IF(OR(ISNUMBER(SEARCH("เคลียร์สินค้าและจัดส่งสินค้าแล้ว",W9)),ISNUMBER(SEARCH("เคลียร์สินค้าเรียบร้อย",W9)),ISNUMBER(SEARCH("เคลียร์สินค้าและจัดส่งแล้ว",W9)),ISNUMBER(SEARCH("จัดส่งสินค้าแล้ว",W9))), "จบงานแล้ว", "")</f>
        <v>จบงานแล้ว</v>
      </c>
      <c r="AD9" s="40"/>
      <c r="AE9" s="41"/>
      <c r="AF9" s="42"/>
      <c r="AG9" s="41"/>
      <c r="AH9" s="163"/>
      <c r="AI9" s="163"/>
      <c r="AJ9" s="163"/>
      <c r="AK9" s="164"/>
    </row>
    <row r="10" s="83" customFormat="true" ht="15" hidden="false" customHeight="false" outlineLevel="0" collapsed="false">
      <c r="A10" s="84" t="n">
        <v>8</v>
      </c>
      <c r="B10" s="85" t="s">
        <v>501</v>
      </c>
      <c r="C10" s="85" t="s">
        <v>502</v>
      </c>
      <c r="D10" s="85" t="s">
        <v>358</v>
      </c>
      <c r="E10" s="85" t="s">
        <v>40</v>
      </c>
      <c r="F10" s="85" t="s">
        <v>41</v>
      </c>
      <c r="G10" s="85" t="s">
        <v>451</v>
      </c>
      <c r="H10" s="86"/>
      <c r="I10" s="87" t="n">
        <v>46089</v>
      </c>
      <c r="J10" s="87" t="n">
        <v>46089</v>
      </c>
      <c r="K10" s="85" t="n">
        <v>12</v>
      </c>
      <c r="L10" s="95" t="n">
        <v>47</v>
      </c>
      <c r="M10" s="85" t="n">
        <v>0.279</v>
      </c>
      <c r="N10" s="85" t="s">
        <v>503</v>
      </c>
      <c r="O10" s="85" t="s">
        <v>504</v>
      </c>
      <c r="P10" s="88" t="n">
        <f aca="false">TRUE()</f>
        <v>1</v>
      </c>
      <c r="Q10" s="85" t="s">
        <v>50</v>
      </c>
      <c r="R10" s="89" t="n">
        <v>46089</v>
      </c>
      <c r="S10" s="89" t="n">
        <v>46089</v>
      </c>
      <c r="T10" s="89" t="s">
        <v>43</v>
      </c>
      <c r="U10" s="89" t="n">
        <v>46093</v>
      </c>
      <c r="V10" s="89" t="n">
        <v>46093</v>
      </c>
      <c r="W10" s="85" t="s">
        <v>505</v>
      </c>
      <c r="X10" s="90" t="b">
        <f aca="false">TRUE()</f>
        <v>1</v>
      </c>
      <c r="Y10" s="90" t="b">
        <f aca="false">TRUE()</f>
        <v>1</v>
      </c>
      <c r="Z10" s="93" t="str">
        <f aca="false">IF(AC10="จบงานแล้ว","จบงานแล้ว",IF(J10="","In Transit",IF(J10&lt;=I10,"On Time","Delayed")))</f>
        <v>On Time</v>
      </c>
      <c r="AA10" s="26" t="n">
        <f aca="false">IFERROR(IF(AND(ISNUMBER(R10),ISNUMBER(U10)),U10-R10,""),"")</f>
        <v>4</v>
      </c>
      <c r="AB10" s="26" t="n">
        <f aca="false">IF(AND(I10&lt;&gt;"",J10&lt;&gt;""),MAX(0,J10-I10),"")</f>
        <v>0</v>
      </c>
      <c r="AC10" s="27" t="str">
        <f aca="false">IF(OR(ISNUMBER(SEARCH("เคลียร์สินค้าและจัดส่งสินค้าแล้ว",W10)),ISNUMBER(SEARCH("เคลียร์สินค้าเรียบร้อย",W10)),ISNUMBER(SEARCH("เคลียร์สินค้าและจัดส่งแล้ว",W10)),ISNUMBER(SEARCH("จัดส่งสินค้าแล้ว",W10))), "จบงานแล้ว", "")</f>
        <v/>
      </c>
      <c r="AD10" s="28"/>
      <c r="AE10" s="29"/>
      <c r="AF10" s="30"/>
      <c r="AG10" s="29"/>
      <c r="AH10" s="163"/>
      <c r="AI10" s="163"/>
      <c r="AJ10" s="163"/>
      <c r="AK10" s="164"/>
    </row>
    <row r="11" s="83" customFormat="true" ht="15" hidden="false" customHeight="false" outlineLevel="0" collapsed="false">
      <c r="A11" s="31" t="n">
        <v>9</v>
      </c>
      <c r="B11" s="32" t="s">
        <v>356</v>
      </c>
      <c r="C11" s="32" t="s">
        <v>491</v>
      </c>
      <c r="D11" s="32" t="s">
        <v>404</v>
      </c>
      <c r="E11" s="32" t="s">
        <v>40</v>
      </c>
      <c r="F11" s="32" t="s">
        <v>54</v>
      </c>
      <c r="G11" s="32" t="s">
        <v>405</v>
      </c>
      <c r="H11" s="81"/>
      <c r="I11" s="38" t="n">
        <v>46092</v>
      </c>
      <c r="J11" s="38" t="n">
        <v>46092</v>
      </c>
      <c r="K11" s="32" t="n">
        <v>1</v>
      </c>
      <c r="L11" s="133" t="n">
        <v>265</v>
      </c>
      <c r="M11" s="32" t="n">
        <v>1.587</v>
      </c>
      <c r="N11" s="32" t="s">
        <v>487</v>
      </c>
      <c r="O11" s="166" t="s">
        <v>506</v>
      </c>
      <c r="P11" s="37" t="n">
        <f aca="false">TRUE()</f>
        <v>1</v>
      </c>
      <c r="Q11" s="32" t="s">
        <v>126</v>
      </c>
      <c r="R11" s="34" t="n">
        <v>46091</v>
      </c>
      <c r="S11" s="34" t="n">
        <v>46091</v>
      </c>
      <c r="T11" s="34" t="s">
        <v>196</v>
      </c>
      <c r="U11" s="34" t="s">
        <v>196</v>
      </c>
      <c r="V11" s="34" t="s">
        <v>196</v>
      </c>
      <c r="W11" s="32"/>
      <c r="X11" s="39" t="b">
        <f aca="false">TRUE()</f>
        <v>1</v>
      </c>
      <c r="Y11" s="39" t="b">
        <f aca="false">TRUE()</f>
        <v>1</v>
      </c>
      <c r="Z11" s="93" t="str">
        <f aca="false">IF(AC11="จบงานแล้ว","จบงานแล้ว",IF(J11="","In Transit",IF(J11&lt;=I11,"On Time","Delayed")))</f>
        <v>On Time</v>
      </c>
      <c r="AA11" s="26" t="str">
        <f aca="false">IFERROR(IF(AND(ISNUMBER(R11),ISNUMBER(U11)),U11-R11,""),"")</f>
        <v/>
      </c>
      <c r="AB11" s="26" t="n">
        <f aca="false">IF(AND(I11&lt;&gt;"",J11&lt;&gt;""),MAX(0,J11-I11),"")</f>
        <v>0</v>
      </c>
      <c r="AC11" s="27" t="str">
        <f aca="false">IF(OR(ISNUMBER(SEARCH("เคลียร์สินค้าและจัดส่งสินค้าแล้ว",W11)),ISNUMBER(SEARCH("เคลียร์สินค้าเรียบร้อย",W11)),ISNUMBER(SEARCH("เคลียร์สินค้าและจัดส่งแล้ว",W11)),ISNUMBER(SEARCH("จัดส่งสินค้าแล้ว",W11))), "จบงานแล้ว", "")</f>
        <v/>
      </c>
      <c r="AD11" s="40"/>
      <c r="AE11" s="41"/>
      <c r="AF11" s="42"/>
      <c r="AG11" s="41"/>
      <c r="AH11" s="163"/>
      <c r="AI11" s="163"/>
      <c r="AJ11" s="163"/>
      <c r="AK11" s="164"/>
    </row>
    <row r="12" s="55" customFormat="true" ht="15" hidden="false" customHeight="false" outlineLevel="0" collapsed="false">
      <c r="A12" s="96"/>
      <c r="B12" s="96"/>
      <c r="C12" s="96"/>
      <c r="D12" s="96"/>
      <c r="E12" s="96"/>
      <c r="F12" s="96"/>
      <c r="G12" s="96"/>
      <c r="H12" s="98"/>
      <c r="I12" s="98"/>
      <c r="J12" s="98"/>
      <c r="K12" s="98"/>
      <c r="L12" s="96"/>
      <c r="M12" s="98"/>
      <c r="N12" s="98"/>
      <c r="O12" s="98"/>
      <c r="P12" s="99" t="n">
        <f aca="false">FALSE()</f>
        <v>0</v>
      </c>
      <c r="Q12" s="96"/>
      <c r="R12" s="100"/>
      <c r="S12" s="100"/>
      <c r="T12" s="100"/>
      <c r="U12" s="100"/>
      <c r="V12" s="100"/>
      <c r="W12" s="96"/>
      <c r="X12" s="167" t="b">
        <f aca="false">FALSE()</f>
        <v>0</v>
      </c>
      <c r="Y12" s="168" t="b">
        <f aca="false">FALSE()</f>
        <v>0</v>
      </c>
      <c r="Z12" s="83"/>
      <c r="AE12" s="132"/>
      <c r="AF12" s="169"/>
      <c r="AG12" s="2"/>
      <c r="AH12" s="2"/>
      <c r="AI12" s="2"/>
      <c r="AJ12" s="2"/>
      <c r="AK12" s="131"/>
    </row>
    <row r="13" s="45" customFormat="true" ht="21.75" hidden="false" customHeight="true" outlineLevel="0" collapsed="false">
      <c r="A13" s="105" t="s">
        <v>507</v>
      </c>
      <c r="B13" s="105"/>
      <c r="C13" s="105"/>
      <c r="D13" s="105"/>
      <c r="E13" s="105"/>
      <c r="F13" s="105"/>
      <c r="G13" s="105"/>
      <c r="H13" s="105"/>
      <c r="I13" s="170"/>
      <c r="J13" s="170"/>
      <c r="K13" s="123"/>
      <c r="L13" s="123"/>
      <c r="M13" s="123"/>
      <c r="N13" s="123"/>
      <c r="O13" s="123"/>
      <c r="P13" s="171" t="n">
        <f aca="false">FALSE()</f>
        <v>0</v>
      </c>
      <c r="Q13" s="123"/>
      <c r="R13" s="172"/>
      <c r="S13" s="172"/>
      <c r="T13" s="172"/>
      <c r="U13" s="172"/>
      <c r="V13" s="172"/>
      <c r="W13" s="123"/>
      <c r="X13" s="173" t="b">
        <f aca="false">FALSE()</f>
        <v>0</v>
      </c>
      <c r="Y13" s="101" t="b">
        <f aca="false">FALSE()</f>
        <v>0</v>
      </c>
      <c r="Z13" s="83"/>
      <c r="AE13" s="103"/>
      <c r="AF13" s="104"/>
      <c r="AG13" s="91"/>
      <c r="AH13" s="91"/>
      <c r="AI13" s="91"/>
      <c r="AJ13" s="91"/>
      <c r="AK13" s="92"/>
    </row>
    <row r="14" s="45" customFormat="true" ht="19.5" hidden="false" customHeight="true" outlineLevel="0" collapsed="false">
      <c r="A14" s="106" t="s">
        <v>342</v>
      </c>
      <c r="B14" s="106"/>
      <c r="C14" s="107" t="n">
        <f aca="false">COUNTA(B3:B11)</f>
        <v>9</v>
      </c>
      <c r="D14" s="71"/>
      <c r="E14" s="71"/>
      <c r="F14" s="71"/>
      <c r="G14" s="71"/>
      <c r="H14" s="72"/>
      <c r="I14" s="72"/>
      <c r="J14" s="72"/>
      <c r="K14" s="71"/>
      <c r="L14" s="71"/>
      <c r="M14" s="71"/>
      <c r="N14" s="71"/>
      <c r="O14" s="71"/>
      <c r="P14" s="71"/>
      <c r="Q14" s="71"/>
      <c r="R14" s="73"/>
      <c r="S14" s="73"/>
      <c r="T14" s="73"/>
      <c r="U14" s="73"/>
      <c r="V14" s="73"/>
      <c r="W14" s="71"/>
      <c r="X14" s="71"/>
      <c r="Y14" s="123"/>
      <c r="Z14" s="83"/>
      <c r="AE14" s="103"/>
      <c r="AF14" s="104"/>
      <c r="AG14" s="91"/>
      <c r="AH14" s="91"/>
      <c r="AI14" s="91"/>
      <c r="AJ14" s="91"/>
      <c r="AK14" s="92"/>
    </row>
    <row r="15" s="45" customFormat="true" ht="19.5" hidden="false" customHeight="true" outlineLevel="0" collapsed="false">
      <c r="A15" s="63" t="s">
        <v>343</v>
      </c>
      <c r="B15" s="63"/>
      <c r="C15" s="107" t="n">
        <f aca="false">COUNTIF(Z3:Z11,"On Time")</f>
        <v>8</v>
      </c>
      <c r="D15" s="71"/>
      <c r="E15" s="71"/>
      <c r="F15" s="71"/>
      <c r="G15" s="71"/>
      <c r="H15" s="72"/>
      <c r="I15" s="72"/>
      <c r="J15" s="72"/>
      <c r="K15" s="71"/>
      <c r="L15" s="71"/>
      <c r="M15" s="71"/>
      <c r="N15" s="71"/>
      <c r="O15" s="71"/>
      <c r="P15" s="71"/>
      <c r="Q15" s="71"/>
      <c r="R15" s="73"/>
      <c r="S15" s="73"/>
      <c r="T15" s="73"/>
      <c r="U15" s="73"/>
      <c r="V15" s="73"/>
      <c r="W15" s="71"/>
      <c r="X15" s="71"/>
      <c r="Y15" s="123"/>
      <c r="Z15" s="83"/>
      <c r="AE15" s="103"/>
      <c r="AF15" s="104"/>
      <c r="AG15" s="91"/>
      <c r="AH15" s="91"/>
      <c r="AI15" s="91"/>
      <c r="AJ15" s="91"/>
      <c r="AK15" s="92"/>
    </row>
    <row r="16" s="45" customFormat="true" ht="19.5" hidden="false" customHeight="true" outlineLevel="0" collapsed="false">
      <c r="A16" s="64" t="s">
        <v>344</v>
      </c>
      <c r="B16" s="64"/>
      <c r="C16" s="107" t="n">
        <f aca="false">COUNTIF(Z3:Z11,"Delayed")</f>
        <v>0</v>
      </c>
      <c r="D16" s="71"/>
      <c r="E16" s="71"/>
      <c r="F16" s="71"/>
      <c r="G16" s="71"/>
      <c r="H16" s="72"/>
      <c r="I16" s="72"/>
      <c r="J16" s="72"/>
      <c r="K16" s="71"/>
      <c r="L16" s="71"/>
      <c r="M16" s="71"/>
      <c r="N16" s="71"/>
      <c r="O16" s="71"/>
      <c r="P16" s="71"/>
      <c r="Q16" s="71"/>
      <c r="R16" s="73"/>
      <c r="S16" s="73"/>
      <c r="T16" s="73"/>
      <c r="U16" s="73"/>
      <c r="V16" s="73"/>
      <c r="W16" s="71"/>
      <c r="X16" s="71"/>
      <c r="Y16" s="123"/>
      <c r="Z16" s="83"/>
      <c r="AE16" s="103"/>
      <c r="AF16" s="104"/>
      <c r="AG16" s="91"/>
      <c r="AH16" s="91"/>
      <c r="AI16" s="91"/>
      <c r="AJ16" s="91"/>
      <c r="AK16" s="92"/>
    </row>
    <row r="17" s="45" customFormat="true" ht="19.5" hidden="false" customHeight="true" outlineLevel="0" collapsed="false">
      <c r="A17" s="65" t="s">
        <v>345</v>
      </c>
      <c r="B17" s="65"/>
      <c r="C17" s="107" t="n">
        <f aca="false">COUNTIF(Z3:Z11,"In Transit")</f>
        <v>0</v>
      </c>
      <c r="D17" s="71"/>
      <c r="E17" s="71"/>
      <c r="F17" s="71"/>
      <c r="G17" s="71"/>
      <c r="H17" s="72"/>
      <c r="I17" s="72"/>
      <c r="J17" s="72"/>
      <c r="K17" s="71"/>
      <c r="L17" s="71"/>
      <c r="M17" s="71"/>
      <c r="N17" s="71"/>
      <c r="O17" s="71"/>
      <c r="P17" s="71"/>
      <c r="Q17" s="71"/>
      <c r="R17" s="73"/>
      <c r="S17" s="73"/>
      <c r="T17" s="73"/>
      <c r="U17" s="73"/>
      <c r="V17" s="73"/>
      <c r="W17" s="71"/>
      <c r="X17" s="71"/>
      <c r="Y17" s="123"/>
      <c r="Z17" s="83"/>
      <c r="AE17" s="103"/>
      <c r="AF17" s="104"/>
      <c r="AG17" s="91"/>
      <c r="AH17" s="91"/>
      <c r="AI17" s="91"/>
      <c r="AJ17" s="91"/>
      <c r="AK17" s="92"/>
    </row>
    <row r="18" s="45" customFormat="true" ht="19.5" hidden="false" customHeight="true" outlineLevel="0" collapsed="false">
      <c r="A18" s="66" t="s">
        <v>346</v>
      </c>
      <c r="B18" s="66"/>
      <c r="C18" s="107" t="n">
        <f aca="false">COUNTIF(Z3:Z11,"จบงานแล้ว")</f>
        <v>1</v>
      </c>
      <c r="D18" s="71"/>
      <c r="E18" s="71"/>
      <c r="F18" s="71"/>
      <c r="G18" s="71"/>
      <c r="H18" s="72"/>
      <c r="I18" s="72"/>
      <c r="J18" s="72"/>
      <c r="K18" s="71"/>
      <c r="L18" s="71"/>
      <c r="M18" s="71"/>
      <c r="N18" s="71"/>
      <c r="O18" s="71"/>
      <c r="P18" s="71"/>
      <c r="Q18" s="71"/>
      <c r="R18" s="73"/>
      <c r="S18" s="73"/>
      <c r="T18" s="73"/>
      <c r="U18" s="73"/>
      <c r="V18" s="73"/>
      <c r="W18" s="71"/>
      <c r="X18" s="71"/>
      <c r="Y18" s="174"/>
      <c r="Z18" s="83"/>
      <c r="AE18" s="103"/>
      <c r="AF18" s="104"/>
      <c r="AK18" s="92"/>
    </row>
    <row r="19" s="111" customFormat="true" ht="19.5" hidden="false" customHeight="true" outlineLevel="0" collapsed="false">
      <c r="A19" s="106" t="s">
        <v>347</v>
      </c>
      <c r="B19" s="106"/>
      <c r="C19" s="117" t="n">
        <f aca="false">IFERROR(COUNTIF(Z3:Z11,"On Time")/COUNTA(Z3:Z11),"N/A")</f>
        <v>0.888888888888889</v>
      </c>
      <c r="D19" s="71"/>
      <c r="E19" s="71"/>
      <c r="F19" s="71"/>
      <c r="G19" s="71"/>
      <c r="H19" s="72"/>
      <c r="I19" s="72"/>
      <c r="J19" s="72"/>
      <c r="K19" s="71"/>
      <c r="L19" s="71"/>
      <c r="M19" s="71"/>
      <c r="N19" s="71"/>
      <c r="O19" s="71"/>
      <c r="P19" s="71"/>
      <c r="Q19" s="71"/>
      <c r="R19" s="73"/>
      <c r="S19" s="73"/>
      <c r="T19" s="73"/>
      <c r="U19" s="73"/>
      <c r="V19" s="73"/>
      <c r="W19" s="71"/>
      <c r="X19" s="71"/>
      <c r="Y19" s="175"/>
      <c r="Z19" s="83"/>
      <c r="AE19" s="109"/>
      <c r="AF19" s="110"/>
      <c r="AG19" s="109"/>
      <c r="AH19" s="109"/>
      <c r="AI19" s="109"/>
      <c r="AJ19" s="109"/>
      <c r="AK19" s="108"/>
      <c r="AL19" s="109"/>
      <c r="AM19" s="109"/>
      <c r="AN19" s="109"/>
      <c r="AO19" s="109"/>
      <c r="AP19" s="109"/>
    </row>
    <row r="20" s="103" customFormat="true" ht="19.5" hidden="false" customHeight="true" outlineLevel="0" collapsed="false">
      <c r="A20" s="106" t="s">
        <v>348</v>
      </c>
      <c r="B20" s="106"/>
      <c r="C20" s="119" t="n">
        <f aca="false">IFERROR(AVERAGEIF(AA3:AA11,"&lt;&gt;"&amp;"",AA3:AA11),"N/A")</f>
        <v>4</v>
      </c>
      <c r="D20" s="71"/>
      <c r="E20" s="71"/>
      <c r="F20" s="71"/>
      <c r="G20" s="116"/>
      <c r="H20" s="72"/>
      <c r="I20" s="72"/>
      <c r="J20" s="72"/>
      <c r="K20" s="71"/>
      <c r="L20" s="71"/>
      <c r="M20" s="71"/>
      <c r="N20" s="71"/>
      <c r="O20" s="71"/>
      <c r="P20" s="71"/>
      <c r="Q20" s="71"/>
      <c r="R20" s="73"/>
      <c r="S20" s="73"/>
      <c r="T20" s="73"/>
      <c r="U20" s="73"/>
      <c r="V20" s="73"/>
      <c r="W20" s="71"/>
      <c r="X20" s="71"/>
      <c r="Y20" s="176"/>
      <c r="Z20" s="83"/>
      <c r="AE20" s="45"/>
      <c r="AF20" s="114"/>
      <c r="AG20" s="45"/>
      <c r="AH20" s="45"/>
      <c r="AI20" s="45"/>
      <c r="AJ20" s="45"/>
      <c r="AK20" s="102"/>
      <c r="AQ20" s="102"/>
    </row>
    <row r="21" s="116" customFormat="true" ht="19.5" hidden="false" customHeight="true" outlineLevel="0" collapsed="false">
      <c r="A21" s="106" t="s">
        <v>349</v>
      </c>
      <c r="B21" s="106"/>
      <c r="C21" s="119" t="str">
        <f aca="false">IFERROR(AVERAGEIF(AB3:AB11,"&gt;"&amp;0,AB3:AB11),"N/A")</f>
        <v>N/A</v>
      </c>
      <c r="D21" s="71"/>
      <c r="E21" s="71"/>
      <c r="F21" s="71"/>
      <c r="G21" s="71"/>
      <c r="H21" s="72"/>
      <c r="I21" s="72"/>
      <c r="J21" s="72"/>
      <c r="K21" s="71"/>
      <c r="L21" s="71"/>
      <c r="M21" s="71"/>
      <c r="N21" s="71"/>
      <c r="O21" s="71"/>
      <c r="P21" s="71"/>
      <c r="Q21" s="71"/>
      <c r="R21" s="73"/>
      <c r="S21" s="73"/>
      <c r="T21" s="73"/>
      <c r="U21" s="73"/>
      <c r="V21" s="73"/>
      <c r="W21" s="71"/>
      <c r="X21" s="71"/>
      <c r="Y21" s="177"/>
      <c r="Z21" s="83"/>
      <c r="AE21" s="109"/>
      <c r="AF21" s="110"/>
      <c r="AG21" s="109"/>
      <c r="AH21" s="109"/>
      <c r="AI21" s="109"/>
      <c r="AJ21" s="109"/>
      <c r="AK21" s="115"/>
    </row>
    <row r="22" s="109" customFormat="true" ht="19.5" hidden="false" customHeight="true" outlineLevel="0" collapsed="false">
      <c r="A22" s="69" t="s">
        <v>350</v>
      </c>
      <c r="B22" s="69"/>
      <c r="C22" s="107" t="n">
        <f aca="false">IFERROR(COUNTA(AG3:AG11),0)</f>
        <v>0</v>
      </c>
      <c r="D22" s="71"/>
      <c r="E22" s="71"/>
      <c r="F22" s="71"/>
      <c r="G22" s="71"/>
      <c r="H22" s="72"/>
      <c r="I22" s="72"/>
      <c r="J22" s="72"/>
      <c r="K22" s="71"/>
      <c r="L22" s="71"/>
      <c r="M22" s="71"/>
      <c r="N22" s="71"/>
      <c r="O22" s="71"/>
      <c r="P22" s="71"/>
      <c r="Q22" s="71"/>
      <c r="R22" s="73"/>
      <c r="S22" s="73"/>
      <c r="T22" s="73"/>
      <c r="U22" s="73"/>
      <c r="V22" s="73"/>
      <c r="W22" s="71"/>
      <c r="X22" s="71"/>
      <c r="Y22" s="178"/>
      <c r="Z22" s="83"/>
      <c r="AF22" s="110"/>
      <c r="AK22" s="108"/>
    </row>
    <row r="23" s="91" customFormat="true" ht="19.5" hidden="false" customHeight="true" outlineLevel="0" collapsed="false">
      <c r="A23" s="63" t="s">
        <v>351</v>
      </c>
      <c r="B23" s="63"/>
      <c r="C23" s="107" t="n">
        <f aca="false">COUNTIF(AG3:AG11,"Paid")</f>
        <v>0</v>
      </c>
      <c r="D23" s="71"/>
      <c r="E23" s="71"/>
      <c r="F23" s="71"/>
      <c r="G23" s="71"/>
      <c r="H23" s="72"/>
      <c r="I23" s="72"/>
      <c r="J23" s="72"/>
      <c r="K23" s="71"/>
      <c r="L23" s="71"/>
      <c r="M23" s="71"/>
      <c r="N23" s="71"/>
      <c r="O23" s="71"/>
      <c r="P23" s="71"/>
      <c r="Q23" s="71"/>
      <c r="R23" s="73"/>
      <c r="S23" s="73"/>
      <c r="T23" s="73"/>
      <c r="U23" s="73"/>
      <c r="V23" s="73"/>
      <c r="W23" s="71"/>
      <c r="X23" s="71"/>
      <c r="Y23" s="178"/>
      <c r="Z23" s="83"/>
      <c r="AE23" s="45"/>
      <c r="AF23" s="114"/>
      <c r="AG23" s="45"/>
      <c r="AH23" s="45"/>
      <c r="AI23" s="45"/>
      <c r="AJ23" s="45"/>
    </row>
    <row r="24" s="91" customFormat="true" ht="19.5" hidden="false" customHeight="true" outlineLevel="0" collapsed="false">
      <c r="A24" s="64" t="s">
        <v>352</v>
      </c>
      <c r="B24" s="64"/>
      <c r="C24" s="107" t="n">
        <f aca="false">COUNTIF(AG3:AG11,"Unpaid")+COUNTIF(AG3:AG11,"Pending")</f>
        <v>0</v>
      </c>
      <c r="D24" s="71"/>
      <c r="E24" s="71"/>
      <c r="F24" s="71"/>
      <c r="G24" s="71"/>
      <c r="H24" s="72"/>
      <c r="I24" s="72"/>
      <c r="J24" s="72"/>
      <c r="K24" s="71"/>
      <c r="L24" s="71"/>
      <c r="M24" s="71"/>
      <c r="N24" s="71"/>
      <c r="O24" s="71"/>
      <c r="P24" s="71"/>
      <c r="Q24" s="71"/>
      <c r="R24" s="73"/>
      <c r="S24" s="73"/>
      <c r="T24" s="73"/>
      <c r="U24" s="73"/>
      <c r="V24" s="73"/>
      <c r="W24" s="71"/>
      <c r="X24" s="71"/>
      <c r="Y24" s="178"/>
      <c r="Z24" s="83"/>
      <c r="AE24" s="45"/>
      <c r="AF24" s="114"/>
      <c r="AG24" s="45"/>
      <c r="AH24" s="45"/>
      <c r="AI24" s="45"/>
      <c r="AJ24" s="45"/>
    </row>
    <row r="25" s="91" customFormat="true" ht="19.5" hidden="false" customHeight="true" outlineLevel="0" collapsed="false">
      <c r="A25" s="69" t="s">
        <v>353</v>
      </c>
      <c r="B25" s="69"/>
      <c r="C25" s="120" t="n">
        <f aca="false">IFERROR(SUM(AF3:AF11),0)</f>
        <v>0</v>
      </c>
      <c r="D25" s="71"/>
      <c r="E25" s="71"/>
      <c r="F25" s="71"/>
      <c r="G25" s="71"/>
      <c r="H25" s="72"/>
      <c r="I25" s="72"/>
      <c r="J25" s="72"/>
      <c r="K25" s="71"/>
      <c r="L25" s="71"/>
      <c r="M25" s="71"/>
      <c r="N25" s="71"/>
      <c r="O25" s="71"/>
      <c r="P25" s="71"/>
      <c r="Q25" s="71"/>
      <c r="R25" s="73"/>
      <c r="S25" s="73"/>
      <c r="T25" s="73"/>
      <c r="U25" s="73"/>
      <c r="V25" s="73"/>
      <c r="W25" s="71"/>
      <c r="X25" s="71"/>
      <c r="Y25" s="179"/>
      <c r="Z25" s="83"/>
      <c r="AE25" s="45"/>
      <c r="AF25" s="114"/>
      <c r="AG25" s="45"/>
      <c r="AH25" s="45"/>
      <c r="AI25" s="45"/>
      <c r="AJ25" s="45"/>
    </row>
    <row r="26" s="91" customFormat="true" ht="19.5" hidden="false" customHeight="true" outlineLevel="0" collapsed="false">
      <c r="A26" s="63" t="s">
        <v>354</v>
      </c>
      <c r="B26" s="63"/>
      <c r="C26" s="120" t="n">
        <f aca="false">IFERROR(SUMIF(AG3:AG11,"Paid",AF3:AF11),0)</f>
        <v>0</v>
      </c>
      <c r="D26" s="71"/>
      <c r="E26" s="71"/>
      <c r="F26" s="71"/>
      <c r="G26" s="71"/>
      <c r="H26" s="72"/>
      <c r="I26" s="72"/>
      <c r="J26" s="72"/>
      <c r="K26" s="71"/>
      <c r="L26" s="71"/>
      <c r="M26" s="71"/>
      <c r="N26" s="71"/>
      <c r="O26" s="71"/>
      <c r="P26" s="71"/>
      <c r="Q26" s="71"/>
      <c r="R26" s="73"/>
      <c r="S26" s="73"/>
      <c r="T26" s="73"/>
      <c r="U26" s="73"/>
      <c r="V26" s="73"/>
      <c r="W26" s="71"/>
      <c r="X26" s="71"/>
      <c r="Y26" s="180"/>
      <c r="Z26" s="83"/>
      <c r="AE26" s="45"/>
      <c r="AF26" s="114"/>
      <c r="AG26" s="45"/>
      <c r="AH26" s="45"/>
      <c r="AI26" s="45"/>
      <c r="AJ26" s="45"/>
    </row>
    <row r="27" s="91" customFormat="true" ht="19.5" hidden="false" customHeight="true" outlineLevel="0" collapsed="false">
      <c r="A27" s="64" t="s">
        <v>355</v>
      </c>
      <c r="B27" s="64"/>
      <c r="C27" s="120" t="n">
        <f aca="false">IFERROR(SUMIF(AG3:AG11,"Unpaid",AF3:AF11)+SUMIF(AG3:AG11,"Pending",AF3:AF11),0)</f>
        <v>0</v>
      </c>
      <c r="D27" s="71"/>
      <c r="E27" s="71"/>
      <c r="F27" s="71"/>
      <c r="G27" s="71"/>
      <c r="H27" s="72"/>
      <c r="I27" s="72"/>
      <c r="J27" s="72"/>
      <c r="K27" s="71"/>
      <c r="L27" s="71"/>
      <c r="M27" s="71"/>
      <c r="N27" s="71"/>
      <c r="O27" s="71"/>
      <c r="P27" s="71"/>
      <c r="Q27" s="71"/>
      <c r="R27" s="73"/>
      <c r="S27" s="73"/>
      <c r="T27" s="73"/>
      <c r="U27" s="73"/>
      <c r="V27" s="73"/>
      <c r="W27" s="71"/>
      <c r="X27" s="71"/>
      <c r="Y27" s="180"/>
      <c r="Z27" s="83"/>
      <c r="AE27" s="45"/>
      <c r="AF27" s="114"/>
      <c r="AG27" s="45"/>
      <c r="AH27" s="45"/>
      <c r="AI27" s="45"/>
      <c r="AJ27" s="45"/>
    </row>
    <row r="28" s="91" customFormat="true" ht="15" hidden="false" customHeight="false" outlineLevel="0" collapsed="false">
      <c r="A28" s="71"/>
      <c r="B28" s="71"/>
      <c r="C28" s="71"/>
      <c r="D28" s="71"/>
      <c r="E28" s="71"/>
      <c r="F28" s="71"/>
      <c r="G28" s="71"/>
      <c r="H28" s="72"/>
      <c r="I28" s="72"/>
      <c r="J28" s="72"/>
      <c r="K28" s="71"/>
      <c r="L28" s="71"/>
      <c r="M28" s="71"/>
      <c r="N28" s="71"/>
      <c r="O28" s="71"/>
      <c r="P28" s="71"/>
      <c r="Q28" s="71"/>
      <c r="R28" s="73"/>
      <c r="S28" s="73"/>
      <c r="T28" s="73"/>
      <c r="U28" s="73"/>
      <c r="V28" s="73"/>
      <c r="W28" s="71"/>
      <c r="X28" s="71"/>
      <c r="Y28" s="180"/>
      <c r="Z28" s="83"/>
      <c r="AE28" s="45"/>
      <c r="AF28" s="114"/>
      <c r="AG28" s="45"/>
      <c r="AH28" s="45"/>
      <c r="AI28" s="45"/>
      <c r="AJ28" s="45"/>
    </row>
    <row r="29" s="91" customFormat="true" ht="15" hidden="false" customHeight="false" outlineLevel="0" collapsed="false">
      <c r="A29" s="71"/>
      <c r="B29" s="71"/>
      <c r="C29" s="71"/>
      <c r="D29" s="71"/>
      <c r="E29" s="71"/>
      <c r="F29" s="71"/>
      <c r="G29" s="71"/>
      <c r="H29" s="72"/>
      <c r="I29" s="72"/>
      <c r="J29" s="72"/>
      <c r="K29" s="71"/>
      <c r="L29" s="71"/>
      <c r="M29" s="71"/>
      <c r="N29" s="71"/>
      <c r="O29" s="71"/>
      <c r="P29" s="71"/>
      <c r="Q29" s="71"/>
      <c r="R29" s="73"/>
      <c r="S29" s="73"/>
      <c r="T29" s="73"/>
      <c r="U29" s="73"/>
      <c r="V29" s="73"/>
      <c r="W29" s="71"/>
      <c r="X29" s="71"/>
      <c r="Y29" s="176"/>
      <c r="Z29" s="83"/>
      <c r="AE29" s="45"/>
      <c r="AF29" s="114"/>
      <c r="AG29" s="45"/>
      <c r="AH29" s="45"/>
      <c r="AI29" s="45"/>
      <c r="AJ29" s="45"/>
    </row>
    <row r="30" s="111" customFormat="true" ht="15" hidden="false" customHeight="false" outlineLevel="0" collapsed="false">
      <c r="A30" s="71"/>
      <c r="B30" s="71"/>
      <c r="C30" s="71"/>
      <c r="D30" s="71"/>
      <c r="E30" s="71"/>
      <c r="F30" s="71"/>
      <c r="G30" s="71"/>
      <c r="H30" s="72"/>
      <c r="I30" s="72"/>
      <c r="J30" s="72"/>
      <c r="K30" s="71"/>
      <c r="L30" s="71"/>
      <c r="M30" s="71"/>
      <c r="N30" s="71"/>
      <c r="O30" s="71"/>
      <c r="P30" s="71"/>
      <c r="Q30" s="71"/>
      <c r="R30" s="73"/>
      <c r="S30" s="73"/>
      <c r="T30" s="73"/>
      <c r="U30" s="73"/>
      <c r="V30" s="73"/>
      <c r="W30" s="71"/>
      <c r="X30" s="71"/>
      <c r="Y30" s="181"/>
      <c r="Z30" s="83"/>
      <c r="AE30" s="109"/>
      <c r="AF30" s="110"/>
      <c r="AG30" s="109"/>
      <c r="AH30" s="109"/>
      <c r="AI30" s="109"/>
      <c r="AJ30" s="109"/>
      <c r="AK30" s="108"/>
      <c r="AL30" s="109"/>
      <c r="AM30" s="109"/>
      <c r="AN30" s="109"/>
      <c r="AO30" s="109"/>
      <c r="AP30" s="109"/>
    </row>
    <row r="31" s="103" customFormat="true" ht="15" hidden="false" customHeight="false" outlineLevel="0" collapsed="false">
      <c r="A31" s="71"/>
      <c r="B31" s="71"/>
      <c r="C31" s="71"/>
      <c r="D31" s="71"/>
      <c r="E31" s="71"/>
      <c r="F31" s="71"/>
      <c r="G31" s="71"/>
      <c r="H31" s="72"/>
      <c r="I31" s="72"/>
      <c r="J31" s="72"/>
      <c r="K31" s="71"/>
      <c r="L31" s="71"/>
      <c r="M31" s="71"/>
      <c r="N31" s="71"/>
      <c r="O31" s="71"/>
      <c r="P31" s="71"/>
      <c r="Q31" s="71"/>
      <c r="R31" s="73"/>
      <c r="S31" s="73"/>
      <c r="T31" s="73"/>
      <c r="U31" s="73"/>
      <c r="V31" s="73"/>
      <c r="W31" s="71"/>
      <c r="X31" s="71"/>
      <c r="Y31" s="182"/>
      <c r="Z31" s="83"/>
      <c r="AE31" s="45"/>
      <c r="AF31" s="114"/>
      <c r="AG31" s="45"/>
      <c r="AH31" s="45"/>
      <c r="AI31" s="45"/>
      <c r="AJ31" s="45"/>
      <c r="AK31" s="102"/>
      <c r="AQ31" s="102"/>
    </row>
    <row r="32" s="103" customFormat="true" ht="15" hidden="false" customHeight="false" outlineLevel="0" collapsed="false">
      <c r="A32" s="71"/>
      <c r="B32" s="71"/>
      <c r="C32" s="71"/>
      <c r="D32" s="71"/>
      <c r="E32" s="71"/>
      <c r="F32" s="71"/>
      <c r="G32" s="71"/>
      <c r="H32" s="72"/>
      <c r="I32" s="72"/>
      <c r="J32" s="72"/>
      <c r="K32" s="71"/>
      <c r="L32" s="71"/>
      <c r="M32" s="71"/>
      <c r="N32" s="71"/>
      <c r="O32" s="71"/>
      <c r="P32" s="71"/>
      <c r="Q32" s="71"/>
      <c r="R32" s="73"/>
      <c r="S32" s="73"/>
      <c r="T32" s="73"/>
      <c r="U32" s="73"/>
      <c r="V32" s="73"/>
      <c r="W32" s="71"/>
      <c r="X32" s="71"/>
      <c r="Y32" s="123"/>
      <c r="Z32" s="83"/>
      <c r="AE32" s="45"/>
      <c r="AF32" s="114"/>
      <c r="AG32" s="45"/>
      <c r="AH32" s="45"/>
      <c r="AI32" s="45"/>
      <c r="AJ32" s="45"/>
      <c r="AK32" s="102"/>
      <c r="AQ32" s="102"/>
    </row>
    <row r="33" s="103" customFormat="true" ht="15" hidden="false" customHeight="false" outlineLevel="0" collapsed="false">
      <c r="A33" s="71"/>
      <c r="B33" s="71"/>
      <c r="C33" s="71"/>
      <c r="D33" s="71"/>
      <c r="E33" s="71"/>
      <c r="F33" s="71"/>
      <c r="G33" s="71"/>
      <c r="H33" s="72"/>
      <c r="I33" s="72"/>
      <c r="J33" s="72"/>
      <c r="K33" s="71"/>
      <c r="L33" s="71"/>
      <c r="M33" s="71"/>
      <c r="N33" s="71"/>
      <c r="O33" s="71"/>
      <c r="P33" s="71"/>
      <c r="Q33" s="71"/>
      <c r="R33" s="73"/>
      <c r="S33" s="73"/>
      <c r="T33" s="73"/>
      <c r="U33" s="73"/>
      <c r="V33" s="73"/>
      <c r="W33" s="71"/>
      <c r="X33" s="71"/>
      <c r="Y33" s="123"/>
      <c r="Z33" s="83"/>
      <c r="AE33" s="45"/>
      <c r="AF33" s="114"/>
      <c r="AG33" s="45"/>
      <c r="AH33" s="45"/>
      <c r="AI33" s="45"/>
      <c r="AJ33" s="45"/>
      <c r="AK33" s="102"/>
      <c r="AQ33" s="102"/>
    </row>
    <row r="34" s="103" customFormat="true" ht="15" hidden="false" customHeight="false" outlineLevel="0" collapsed="false">
      <c r="A34" s="71"/>
      <c r="B34" s="71"/>
      <c r="C34" s="71"/>
      <c r="D34" s="71"/>
      <c r="E34" s="71"/>
      <c r="F34" s="71"/>
      <c r="G34" s="71"/>
      <c r="H34" s="72"/>
      <c r="I34" s="72"/>
      <c r="J34" s="72"/>
      <c r="K34" s="71"/>
      <c r="L34" s="71"/>
      <c r="M34" s="71"/>
      <c r="N34" s="71"/>
      <c r="O34" s="71"/>
      <c r="P34" s="71"/>
      <c r="Q34" s="71"/>
      <c r="R34" s="73"/>
      <c r="S34" s="73"/>
      <c r="T34" s="73"/>
      <c r="U34" s="73"/>
      <c r="V34" s="73"/>
      <c r="W34" s="71"/>
      <c r="X34" s="71"/>
      <c r="Y34" s="123"/>
      <c r="Z34" s="92"/>
      <c r="AA34" s="45"/>
      <c r="AB34" s="45"/>
      <c r="AC34" s="45"/>
      <c r="AD34" s="45"/>
      <c r="AE34" s="45"/>
      <c r="AF34" s="114"/>
      <c r="AG34" s="45"/>
      <c r="AH34" s="45"/>
      <c r="AI34" s="45"/>
      <c r="AJ34" s="45"/>
      <c r="AK34" s="102"/>
      <c r="AQ34" s="102"/>
    </row>
    <row r="35" s="103" customFormat="true" ht="15" hidden="false" customHeight="false" outlineLevel="0" collapsed="false">
      <c r="A35" s="71"/>
      <c r="B35" s="71"/>
      <c r="C35" s="71"/>
      <c r="D35" s="71"/>
      <c r="E35" s="71"/>
      <c r="F35" s="71"/>
      <c r="G35" s="71"/>
      <c r="H35" s="72"/>
      <c r="I35" s="72"/>
      <c r="J35" s="72"/>
      <c r="K35" s="71"/>
      <c r="L35" s="71"/>
      <c r="M35" s="71"/>
      <c r="N35" s="71"/>
      <c r="O35" s="71"/>
      <c r="P35" s="71"/>
      <c r="Q35" s="71"/>
      <c r="R35" s="73"/>
      <c r="S35" s="73"/>
      <c r="T35" s="73"/>
      <c r="U35" s="73"/>
      <c r="V35" s="73"/>
      <c r="W35" s="71"/>
      <c r="X35" s="71"/>
      <c r="Y35" s="123"/>
      <c r="Z35" s="92"/>
      <c r="AA35" s="45"/>
      <c r="AB35" s="45"/>
      <c r="AC35" s="45"/>
      <c r="AD35" s="45"/>
      <c r="AE35" s="45"/>
      <c r="AF35" s="114"/>
      <c r="AG35" s="45"/>
      <c r="AH35" s="45"/>
      <c r="AI35" s="45"/>
      <c r="AJ35" s="45"/>
      <c r="AK35" s="102"/>
      <c r="AQ35" s="102"/>
    </row>
    <row r="36" s="103" customFormat="true" ht="15" hidden="false" customHeight="false" outlineLevel="0" collapsed="false">
      <c r="A36" s="71"/>
      <c r="B36" s="71"/>
      <c r="C36" s="71"/>
      <c r="D36" s="71"/>
      <c r="E36" s="71"/>
      <c r="F36" s="71"/>
      <c r="G36" s="71"/>
      <c r="H36" s="72"/>
      <c r="I36" s="72"/>
      <c r="J36" s="72"/>
      <c r="K36" s="71"/>
      <c r="L36" s="71"/>
      <c r="M36" s="71"/>
      <c r="N36" s="71"/>
      <c r="O36" s="71"/>
      <c r="P36" s="71"/>
      <c r="Q36" s="71"/>
      <c r="R36" s="73"/>
      <c r="S36" s="73"/>
      <c r="T36" s="73"/>
      <c r="U36" s="73"/>
      <c r="V36" s="73"/>
      <c r="W36" s="71"/>
      <c r="X36" s="71"/>
      <c r="Y36" s="123"/>
      <c r="Z36" s="92"/>
      <c r="AA36" s="45"/>
      <c r="AB36" s="45"/>
      <c r="AC36" s="45"/>
      <c r="AD36" s="45"/>
      <c r="AE36" s="45"/>
      <c r="AF36" s="114"/>
      <c r="AG36" s="45"/>
      <c r="AH36" s="45"/>
      <c r="AI36" s="45"/>
      <c r="AJ36" s="45"/>
      <c r="AK36" s="102"/>
      <c r="AQ36" s="102"/>
    </row>
    <row r="37" s="103" customFormat="true" ht="15" hidden="false" customHeight="false" outlineLevel="0" collapsed="false">
      <c r="A37" s="71"/>
      <c r="B37" s="71"/>
      <c r="C37" s="71"/>
      <c r="D37" s="71"/>
      <c r="E37" s="71"/>
      <c r="F37" s="71"/>
      <c r="G37" s="71"/>
      <c r="H37" s="72"/>
      <c r="I37" s="72"/>
      <c r="J37" s="72"/>
      <c r="K37" s="71"/>
      <c r="L37" s="71"/>
      <c r="M37" s="71"/>
      <c r="N37" s="71"/>
      <c r="O37" s="71"/>
      <c r="P37" s="71"/>
      <c r="Q37" s="71"/>
      <c r="R37" s="73"/>
      <c r="S37" s="73"/>
      <c r="T37" s="73"/>
      <c r="U37" s="73"/>
      <c r="V37" s="73"/>
      <c r="W37" s="71"/>
      <c r="X37" s="71"/>
      <c r="Y37" s="71"/>
      <c r="Z37" s="92"/>
      <c r="AA37" s="45"/>
      <c r="AB37" s="45"/>
      <c r="AC37" s="45"/>
      <c r="AD37" s="45"/>
      <c r="AE37" s="45"/>
      <c r="AF37" s="114"/>
      <c r="AG37" s="45"/>
      <c r="AH37" s="45"/>
      <c r="AI37" s="45"/>
      <c r="AJ37" s="45"/>
      <c r="AK37" s="102"/>
      <c r="AQ37" s="102"/>
    </row>
  </sheetData>
  <mergeCells count="15">
    <mergeCell ref="A13:H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</mergeCells>
  <conditionalFormatting sqref="Z3:Z11">
    <cfRule type="expression" priority="2" aboveAverage="0" equalAverage="0" bottom="0" percent="0" rank="0" text="" dxfId="4">
      <formula>Z3="On Time"</formula>
    </cfRule>
    <cfRule type="expression" priority="3" aboveAverage="0" equalAverage="0" bottom="0" percent="0" rank="0" text="" dxfId="5">
      <formula>Z3="Delayed"</formula>
    </cfRule>
    <cfRule type="expression" priority="4" aboveAverage="0" equalAverage="0" bottom="0" percent="0" rank="0" text="" dxfId="6">
      <formula>Z3="In Transit"</formula>
    </cfRule>
    <cfRule type="expression" priority="5" aboveAverage="0" equalAverage="0" bottom="0" percent="0" rank="0" text="" dxfId="7">
      <formula>Z3="จบงานแล้ว"</formula>
    </cfRule>
  </conditionalFormatting>
  <conditionalFormatting sqref="AC3:AC11">
    <cfRule type="expression" priority="6" aboveAverage="0" equalAverage="0" bottom="0" percent="0" rank="0" text="" dxfId="7">
      <formula>AC3="จบงานแล้ว"</formula>
    </cfRule>
  </conditionalFormatting>
  <conditionalFormatting sqref="AA3:AA11">
    <cfRule type="cellIs" priority="7" operator="lessThanOrEqual" aboveAverage="0" equalAverage="0" bottom="0" percent="0" rank="0" text="" dxfId="4">
      <formula>5</formula>
    </cfRule>
    <cfRule type="cellIs" priority="8" operator="greaterThan" aboveAverage="0" equalAverage="0" bottom="0" percent="0" rank="0" text="" dxfId="5">
      <formula>10</formula>
    </cfRule>
  </conditionalFormatting>
  <conditionalFormatting sqref="AB3:AB11">
    <cfRule type="cellIs" priority="9" operator="greaterThan" aboveAverage="0" equalAverage="0" bottom="0" percent="0" rank="0" text="" dxfId="5">
      <formula>0</formula>
    </cfRule>
  </conditionalFormatting>
  <conditionalFormatting sqref="AG3:AG11">
    <cfRule type="expression" priority="10" aboveAverage="0" equalAverage="0" bottom="0" percent="0" rank="0" text="" dxfId="4">
      <formula>AG3="Paid"</formula>
    </cfRule>
    <cfRule type="expression" priority="11" aboveAverage="0" equalAverage="0" bottom="0" percent="0" rank="0" text="" dxfId="5">
      <formula>AG3="Unpaid"</formula>
    </cfRule>
    <cfRule type="expression" priority="12" aboveAverage="0" equalAverage="0" bottom="0" percent="0" rank="0" text="" dxfId="6">
      <formula>AG3="Pending"</formula>
    </cfRule>
  </conditionalFormatting>
  <dataValidations count="1">
    <dataValidation allowBlank="true" errorStyle="stop" operator="between" showDropDown="false" showErrorMessage="false" showInputMessage="false" sqref="AG3:AG11" type="list">
      <formula1>"Paid,Unpaid,Pending"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F752"/>
    <pageSetUpPr fitToPage="true"/>
  </sheetPr>
  <dimension ref="A1:AO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37.57"/>
    <col collapsed="false" customWidth="true" hidden="false" outlineLevel="0" max="4" min="4" style="0" width="14"/>
    <col collapsed="false" customWidth="true" hidden="false" outlineLevel="0" max="7" min="7" style="0" width="17.29"/>
    <col collapsed="false" customWidth="true" hidden="false" outlineLevel="0" max="8" min="8" style="1" width="12.15"/>
    <col collapsed="false" customWidth="true" hidden="false" outlineLevel="0" max="9" min="9" style="1" width="12.29"/>
    <col collapsed="false" customWidth="true" hidden="false" outlineLevel="0" max="10" min="10" style="1" width="12.42"/>
    <col collapsed="false" customWidth="true" hidden="false" outlineLevel="0" max="11" min="11" style="0" width="11.29"/>
    <col collapsed="false" customWidth="true" hidden="false" outlineLevel="0" max="12" min="12" style="0" width="14.42"/>
    <col collapsed="false" customWidth="true" hidden="false" outlineLevel="0" max="13" min="13" style="2" width="9.14"/>
    <col collapsed="false" customWidth="true" hidden="false" outlineLevel="0" max="14" min="14" style="0" width="10.29"/>
    <col collapsed="false" customWidth="true" hidden="false" outlineLevel="0" max="15" min="15" style="3" width="15.29"/>
    <col collapsed="false" customWidth="true" hidden="false" outlineLevel="0" max="16" min="16" style="4" width="11.14"/>
    <col collapsed="false" customWidth="true" hidden="false" outlineLevel="0" max="17" min="17" style="0" width="22"/>
    <col collapsed="false" customWidth="true" hidden="false" outlineLevel="0" max="18" min="18" style="0" width="73"/>
    <col collapsed="false" customWidth="true" hidden="false" outlineLevel="0" max="19" min="19" style="0" width="13.29"/>
    <col collapsed="false" customWidth="true" hidden="false" outlineLevel="0" max="20" min="20" style="0" width="15.71"/>
    <col collapsed="false" customWidth="true" hidden="false" outlineLevel="0" max="22" min="21" style="5" width="14.86"/>
    <col collapsed="false" customWidth="true" hidden="false" outlineLevel="0" max="23" min="23" style="5" width="11.85"/>
    <col collapsed="false" customWidth="true" hidden="false" outlineLevel="0" max="24" min="24" style="5" width="10.42"/>
    <col collapsed="false" customWidth="true" hidden="false" outlineLevel="0" max="25" min="25" style="5" width="11.29"/>
    <col collapsed="false" customWidth="true" hidden="false" outlineLevel="0" max="26" min="26" style="0" width="26"/>
    <col collapsed="false" customWidth="true" hidden="false" outlineLevel="0" max="37" min="34" style="0" width="13"/>
    <col collapsed="false" customWidth="true" hidden="false" outlineLevel="0" max="41" min="38" style="0" width="14"/>
  </cols>
  <sheetData>
    <row r="1" s="12" customFormat="true" ht="33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H1" s="13" t="s">
        <v>29</v>
      </c>
      <c r="AI1" s="13" t="s">
        <v>30</v>
      </c>
      <c r="AJ1" s="13" t="s">
        <v>31</v>
      </c>
      <c r="AK1" s="14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</row>
    <row r="2" s="24" customFormat="true" ht="18.75" hidden="false" customHeight="true" outlineLevel="0" collapsed="false">
      <c r="A2" s="16" t="n">
        <f aca="false">ROW()-ROW($A$2)+1</f>
        <v>1</v>
      </c>
      <c r="B2" s="17"/>
      <c r="C2" s="17"/>
      <c r="D2" s="17"/>
      <c r="E2" s="17"/>
      <c r="F2" s="17"/>
      <c r="G2" s="17"/>
      <c r="H2" s="18"/>
      <c r="I2" s="19"/>
      <c r="J2" s="19"/>
      <c r="K2" s="16"/>
      <c r="L2" s="17"/>
      <c r="M2" s="17"/>
      <c r="N2" s="17"/>
      <c r="O2" s="20"/>
      <c r="P2" s="21"/>
      <c r="Q2" s="17"/>
      <c r="R2" s="17"/>
      <c r="S2" s="22" t="b">
        <f aca="false">FALSE()</f>
        <v>0</v>
      </c>
      <c r="T2" s="17"/>
      <c r="U2" s="23"/>
      <c r="V2" s="23"/>
      <c r="W2" s="23"/>
      <c r="X2" s="23"/>
      <c r="Y2" s="23"/>
      <c r="Z2" s="17"/>
      <c r="AA2" s="17"/>
      <c r="AB2" s="17"/>
      <c r="AC2" s="17"/>
      <c r="AH2" s="25" t="str">
        <f aca="false">IF(AK2="จบงานแล้ว","จบงานแล้ว",IF(K2="","In Transit",IF(K2&lt;=J2,"On Time","Delayed")))</f>
        <v>In Transit</v>
      </c>
      <c r="AI2" s="26" t="str">
        <f aca="false">IFERROR(IF(AND(ISNUMBER(U2),ISNUMBER(X2)),X2-U2,""),"")</f>
        <v/>
      </c>
      <c r="AJ2" s="26" t="str">
        <f aca="false">IF(AND(J2&lt;&gt;"",K2&lt;&gt;""),MAX(0,K2-J2),"")</f>
        <v/>
      </c>
      <c r="AK2" s="27" t="str">
        <f aca="false">IF(OR(ISNUMBER(SEARCH("เคลียร์สินค้าและจัดส่งสินค้าแล้ว",Z2)),ISNUMBER(SEARCH("เคลียร์สินค้าเรียบร้อย",Z2)),ISNUMBER(SEARCH("เคลียร์สินค้าและจัดส่งแล้ว",Z2)),ISNUMBER(SEARCH("จัดส่งสินค้าแล้ว",Z2))), "จบงานแล้ว", "")</f>
        <v/>
      </c>
      <c r="AL2" s="28"/>
      <c r="AM2" s="29"/>
      <c r="AN2" s="30"/>
      <c r="AO2" s="29"/>
    </row>
    <row r="3" s="24" customFormat="true" ht="18.75" hidden="false" customHeight="true" outlineLevel="0" collapsed="false">
      <c r="A3" s="31" t="n">
        <f aca="false">ROW()-ROW($A$2)+1</f>
        <v>2</v>
      </c>
      <c r="B3" s="32"/>
      <c r="C3" s="32"/>
      <c r="D3" s="32"/>
      <c r="E3" s="32"/>
      <c r="F3" s="32"/>
      <c r="G3" s="32"/>
      <c r="H3" s="33"/>
      <c r="I3" s="34"/>
      <c r="J3" s="34"/>
      <c r="K3" s="31"/>
      <c r="L3" s="32"/>
      <c r="M3" s="32"/>
      <c r="N3" s="32"/>
      <c r="O3" s="35"/>
      <c r="P3" s="36"/>
      <c r="Q3" s="32"/>
      <c r="R3" s="32"/>
      <c r="S3" s="37" t="n">
        <f aca="false">FALSE()</f>
        <v>0</v>
      </c>
      <c r="T3" s="32"/>
      <c r="U3" s="38"/>
      <c r="V3" s="38"/>
      <c r="W3" s="38"/>
      <c r="X3" s="38"/>
      <c r="Y3" s="38"/>
      <c r="Z3" s="32"/>
      <c r="AA3" s="32"/>
      <c r="AB3" s="32"/>
      <c r="AC3" s="32"/>
      <c r="AH3" s="27" t="str">
        <f aca="false">IF(AK3="จบงานแล้ว","จบงานแล้ว",IF(K3="","In Transit",IF(K3&lt;=J3,"On Time","Delayed")))</f>
        <v>In Transit</v>
      </c>
      <c r="AI3" s="26" t="str">
        <f aca="false">IFERROR(IF(AND(ISNUMBER(U3),ISNUMBER(X3)),X3-U3,""),"")</f>
        <v/>
      </c>
      <c r="AJ3" s="26" t="str">
        <f aca="false">IF(AND(J3&lt;&gt;"",K3&lt;&gt;""),MAX(0,K3-J3),"")</f>
        <v/>
      </c>
      <c r="AK3" s="27" t="str">
        <f aca="false">IF(OR(ISNUMBER(SEARCH("เคลียร์สินค้าและจัดส่งสินค้าแล้ว",Z3)),ISNUMBER(SEARCH("เคลียร์สินค้าเรียบร้อย",Z3)),ISNUMBER(SEARCH("เคลียร์สินค้าและจัดส่งแล้ว",Z3)),ISNUMBER(SEARCH("จัดส่งสินค้าแล้ว",Z3))), "จบงานแล้ว", "")</f>
        <v/>
      </c>
      <c r="AL3" s="40"/>
      <c r="AM3" s="41"/>
      <c r="AN3" s="42"/>
      <c r="AO3" s="41"/>
    </row>
    <row r="4" s="24" customFormat="true" ht="18.75" hidden="false" customHeight="true" outlineLevel="0" collapsed="false">
      <c r="A4" s="16" t="n">
        <f aca="false">ROW()-ROW($A$2)+1</f>
        <v>3</v>
      </c>
      <c r="B4" s="17"/>
      <c r="C4" s="17"/>
      <c r="D4" s="17"/>
      <c r="E4" s="17"/>
      <c r="F4" s="17"/>
      <c r="G4" s="17"/>
      <c r="H4" s="18"/>
      <c r="I4" s="19"/>
      <c r="J4" s="19"/>
      <c r="K4" s="16"/>
      <c r="L4" s="17"/>
      <c r="M4" s="17"/>
      <c r="N4" s="17"/>
      <c r="O4" s="20"/>
      <c r="P4" s="21"/>
      <c r="Q4" s="17"/>
      <c r="R4" s="17"/>
      <c r="S4" s="43" t="n">
        <f aca="false">FALSE()</f>
        <v>0</v>
      </c>
      <c r="T4" s="17"/>
      <c r="U4" s="23"/>
      <c r="V4" s="23"/>
      <c r="W4" s="23"/>
      <c r="X4" s="23"/>
      <c r="Y4" s="23"/>
      <c r="Z4" s="17"/>
      <c r="AA4" s="17"/>
      <c r="AB4" s="17"/>
      <c r="AC4" s="17"/>
      <c r="AH4" s="27" t="str">
        <f aca="false">IF(AK4="จบงานแล้ว","จบงานแล้ว",IF(K4="","In Transit",IF(K4&lt;=J4,"On Time","Delayed")))</f>
        <v>In Transit</v>
      </c>
      <c r="AI4" s="26" t="str">
        <f aca="false">IFERROR(IF(AND(ISNUMBER(U4),ISNUMBER(X4)),X4-U4,""),"")</f>
        <v/>
      </c>
      <c r="AJ4" s="26" t="str">
        <f aca="false">IF(AND(J4&lt;&gt;"",K4&lt;&gt;""),MAX(0,K4-J4),"")</f>
        <v/>
      </c>
      <c r="AK4" s="27" t="str">
        <f aca="false">IF(OR(ISNUMBER(SEARCH("เคลียร์สินค้าและจัดส่งสินค้าแล้ว",Z4)),ISNUMBER(SEARCH("เคลียร์สินค้าเรียบร้อย",Z4)),ISNUMBER(SEARCH("เคลียร์สินค้าและจัดส่งแล้ว",Z4)),ISNUMBER(SEARCH("จัดส่งสินค้าแล้ว",Z4))), "จบงานแล้ว", "")</f>
        <v/>
      </c>
      <c r="AL4" s="28"/>
      <c r="AM4" s="29"/>
      <c r="AN4" s="30"/>
      <c r="AO4" s="29"/>
    </row>
    <row r="5" s="24" customFormat="true" ht="18.75" hidden="false" customHeight="true" outlineLevel="0" collapsed="false">
      <c r="A5" s="31" t="n">
        <f aca="false">ROW()-ROW($A$2)+1</f>
        <v>4</v>
      </c>
      <c r="B5" s="32"/>
      <c r="C5" s="32"/>
      <c r="D5" s="32"/>
      <c r="E5" s="32"/>
      <c r="F5" s="32"/>
      <c r="G5" s="32"/>
      <c r="H5" s="33"/>
      <c r="I5" s="34"/>
      <c r="J5" s="34"/>
      <c r="K5" s="31"/>
      <c r="L5" s="32"/>
      <c r="M5" s="32"/>
      <c r="N5" s="32"/>
      <c r="O5" s="35"/>
      <c r="P5" s="36"/>
      <c r="Q5" s="32"/>
      <c r="R5" s="32"/>
      <c r="S5" s="37"/>
      <c r="T5" s="32"/>
      <c r="U5" s="38"/>
      <c r="V5" s="38"/>
      <c r="W5" s="38"/>
      <c r="X5" s="38"/>
      <c r="Y5" s="38"/>
      <c r="Z5" s="32"/>
      <c r="AA5" s="32"/>
      <c r="AB5" s="32"/>
      <c r="AC5" s="32"/>
      <c r="AH5" s="27" t="str">
        <f aca="false">IF(AK5="จบงานแล้ว","จบงานแล้ว",IF(K5="","In Transit",IF(K5&lt;=J5,"On Time","Delayed")))</f>
        <v>In Transit</v>
      </c>
      <c r="AI5" s="26" t="str">
        <f aca="false">IFERROR(IF(AND(ISNUMBER(U5),ISNUMBER(X5)),X5-U5,""),"")</f>
        <v/>
      </c>
      <c r="AJ5" s="26" t="str">
        <f aca="false">IF(AND(J5&lt;&gt;"",K5&lt;&gt;""),MAX(0,K5-J5),"")</f>
        <v/>
      </c>
      <c r="AK5" s="27" t="str">
        <f aca="false">IF(OR(ISNUMBER(SEARCH("เคลียร์สินค้าและจัดส่งสินค้าแล้ว",Z5)),ISNUMBER(SEARCH("เคลียร์สินค้าเรียบร้อย",Z5)),ISNUMBER(SEARCH("เคลียร์สินค้าและจัดส่งแล้ว",Z5)),ISNUMBER(SEARCH("จัดส่งสินค้าแล้ว",Z5))), "จบงานแล้ว", "")</f>
        <v/>
      </c>
      <c r="AL5" s="40"/>
      <c r="AM5" s="41"/>
      <c r="AN5" s="42"/>
      <c r="AO5" s="41"/>
    </row>
    <row r="6" s="24" customFormat="true" ht="18.75" hidden="false" customHeight="true" outlineLevel="0" collapsed="false">
      <c r="A6" s="16" t="n">
        <f aca="false">ROW()-ROW($A$2)+1</f>
        <v>5</v>
      </c>
      <c r="B6" s="17"/>
      <c r="C6" s="17"/>
      <c r="D6" s="17"/>
      <c r="E6" s="17"/>
      <c r="F6" s="17"/>
      <c r="G6" s="17"/>
      <c r="H6" s="18"/>
      <c r="I6" s="19"/>
      <c r="J6" s="19"/>
      <c r="K6" s="16"/>
      <c r="L6" s="17"/>
      <c r="M6" s="17"/>
      <c r="N6" s="17"/>
      <c r="O6" s="20"/>
      <c r="P6" s="21"/>
      <c r="Q6" s="17"/>
      <c r="R6" s="17"/>
      <c r="S6" s="43" t="n">
        <f aca="false">FALSE()</f>
        <v>0</v>
      </c>
      <c r="T6" s="17"/>
      <c r="U6" s="23"/>
      <c r="V6" s="23"/>
      <c r="W6" s="23"/>
      <c r="X6" s="23"/>
      <c r="Y6" s="23"/>
      <c r="Z6" s="17"/>
      <c r="AA6" s="17"/>
      <c r="AB6" s="17"/>
      <c r="AC6" s="17"/>
      <c r="AH6" s="27" t="str">
        <f aca="false">IF(AK6="จบงานแล้ว","จบงานแล้ว",IF(K6="","In Transit",IF(K6&lt;=J6,"On Time","Delayed")))</f>
        <v>In Transit</v>
      </c>
      <c r="AI6" s="26" t="str">
        <f aca="false">IFERROR(IF(AND(ISNUMBER(U6),ISNUMBER(X6)),X6-U6,""),"")</f>
        <v/>
      </c>
      <c r="AJ6" s="26" t="str">
        <f aca="false">IF(AND(J6&lt;&gt;"",K6&lt;&gt;""),MAX(0,K6-J6),"")</f>
        <v/>
      </c>
      <c r="AK6" s="27" t="str">
        <f aca="false">IF(OR(ISNUMBER(SEARCH("เคลียร์สินค้าและจัดส่งสินค้าแล้ว",Z6)),ISNUMBER(SEARCH("เคลียร์สินค้าเรียบร้อย",Z6)),ISNUMBER(SEARCH("เคลียร์สินค้าและจัดส่งแล้ว",Z6)),ISNUMBER(SEARCH("จัดส่งสินค้าแล้ว",Z6))), "จบงานแล้ว", "")</f>
        <v/>
      </c>
      <c r="AL6" s="28"/>
      <c r="AM6" s="29"/>
      <c r="AN6" s="30"/>
      <c r="AO6" s="29"/>
    </row>
    <row r="7" s="44" customFormat="true" ht="18.75" hidden="false" customHeight="true" outlineLevel="0" collapsed="false">
      <c r="A7" s="31" t="n">
        <f aca="false">ROW()-ROW($A$2)+1</f>
        <v>6</v>
      </c>
      <c r="B7" s="32"/>
      <c r="C7" s="32"/>
      <c r="D7" s="32"/>
      <c r="E7" s="32"/>
      <c r="F7" s="32"/>
      <c r="G7" s="32"/>
      <c r="H7" s="33"/>
      <c r="I7" s="34"/>
      <c r="J7" s="34"/>
      <c r="K7" s="31"/>
      <c r="L7" s="32"/>
      <c r="M7" s="32"/>
      <c r="N7" s="32"/>
      <c r="O7" s="35"/>
      <c r="P7" s="36"/>
      <c r="Q7" s="32"/>
      <c r="R7" s="32"/>
      <c r="S7" s="37"/>
      <c r="T7" s="32"/>
      <c r="U7" s="38"/>
      <c r="V7" s="38"/>
      <c r="W7" s="38"/>
      <c r="X7" s="38"/>
      <c r="Y7" s="38"/>
      <c r="Z7" s="32"/>
      <c r="AA7" s="32"/>
      <c r="AB7" s="32"/>
      <c r="AC7" s="32"/>
      <c r="AH7" s="27" t="str">
        <f aca="false">IF(AK7="จบงานแล้ว","จบงานแล้ว",IF(K7="","In Transit",IF(K7&lt;=J7,"On Time","Delayed")))</f>
        <v>In Transit</v>
      </c>
      <c r="AI7" s="26" t="str">
        <f aca="false">IFERROR(IF(AND(ISNUMBER(U7),ISNUMBER(X7)),X7-U7,""),"")</f>
        <v/>
      </c>
      <c r="AJ7" s="26" t="str">
        <f aca="false">IF(AND(J7&lt;&gt;"",K7&lt;&gt;""),MAX(0,K7-J7),"")</f>
        <v/>
      </c>
      <c r="AK7" s="27" t="str">
        <f aca="false">IF(OR(ISNUMBER(SEARCH("เคลียร์สินค้าและจัดส่งสินค้าแล้ว",Z7)),ISNUMBER(SEARCH("เคลียร์สินค้าเรียบร้อย",Z7)),ISNUMBER(SEARCH("เคลียร์สินค้าและจัดส่งแล้ว",Z7)),ISNUMBER(SEARCH("จัดส่งสินค้าแล้ว",Z7))), "จบงานแล้ว", "")</f>
        <v/>
      </c>
      <c r="AL7" s="40"/>
      <c r="AM7" s="41"/>
      <c r="AN7" s="42"/>
      <c r="AO7" s="41"/>
    </row>
    <row r="8" s="2" customFormat="true" ht="18.75" hidden="false" customHeight="true" outlineLevel="0" collapsed="false">
      <c r="A8" s="16" t="n">
        <f aca="false">ROW()-ROW($A$2)+1</f>
        <v>7</v>
      </c>
      <c r="B8" s="17"/>
      <c r="C8" s="17"/>
      <c r="D8" s="17"/>
      <c r="E8" s="17"/>
      <c r="F8" s="17"/>
      <c r="G8" s="17"/>
      <c r="H8" s="18"/>
      <c r="I8" s="19"/>
      <c r="J8" s="19"/>
      <c r="K8" s="16"/>
      <c r="L8" s="17"/>
      <c r="M8" s="17"/>
      <c r="N8" s="17"/>
      <c r="O8" s="20"/>
      <c r="P8" s="21"/>
      <c r="Q8" s="17"/>
      <c r="R8" s="17"/>
      <c r="S8" s="43"/>
      <c r="T8" s="17"/>
      <c r="U8" s="23"/>
      <c r="V8" s="23"/>
      <c r="W8" s="23"/>
      <c r="X8" s="23"/>
      <c r="Y8" s="23"/>
      <c r="Z8" s="17"/>
      <c r="AA8" s="17"/>
      <c r="AB8" s="17"/>
      <c r="AC8" s="17"/>
      <c r="AH8" s="27" t="str">
        <f aca="false">IF(AK8="จบงานแล้ว","จบงานแล้ว",IF(K8="","In Transit",IF(K8&lt;=J8,"On Time","Delayed")))</f>
        <v>In Transit</v>
      </c>
      <c r="AI8" s="26" t="str">
        <f aca="false">IFERROR(IF(AND(ISNUMBER(U8),ISNUMBER(X8)),X8-U8,""),"")</f>
        <v/>
      </c>
      <c r="AJ8" s="26" t="str">
        <f aca="false">IF(AND(J8&lt;&gt;"",K8&lt;&gt;""),MAX(0,K8-J8),"")</f>
        <v/>
      </c>
      <c r="AK8" s="27" t="str">
        <f aca="false">IF(OR(ISNUMBER(SEARCH("เคลียร์สินค้าและจัดส่งสินค้าแล้ว",Z8)),ISNUMBER(SEARCH("เคลียร์สินค้าเรียบร้อย",Z8)),ISNUMBER(SEARCH("เคลียร์สินค้าและจัดส่งแล้ว",Z8)),ISNUMBER(SEARCH("จัดส่งสินค้าแล้ว",Z8))), "จบงานแล้ว", "")</f>
        <v/>
      </c>
      <c r="AL8" s="28"/>
      <c r="AM8" s="29"/>
      <c r="AN8" s="30"/>
      <c r="AO8" s="29"/>
    </row>
    <row r="9" s="2" customFormat="true" ht="18.75" hidden="false" customHeight="true" outlineLevel="0" collapsed="false">
      <c r="A9" s="31" t="n">
        <f aca="false">ROW()-ROW($A$2)+1</f>
        <v>8</v>
      </c>
      <c r="B9" s="32"/>
      <c r="C9" s="32"/>
      <c r="D9" s="32"/>
      <c r="E9" s="32"/>
      <c r="F9" s="32"/>
      <c r="G9" s="32"/>
      <c r="H9" s="33"/>
      <c r="I9" s="34"/>
      <c r="J9" s="34"/>
      <c r="K9" s="31"/>
      <c r="L9" s="32"/>
      <c r="M9" s="32"/>
      <c r="N9" s="32"/>
      <c r="O9" s="35"/>
      <c r="P9" s="36"/>
      <c r="Q9" s="32"/>
      <c r="R9" s="32"/>
      <c r="S9" s="37"/>
      <c r="T9" s="32"/>
      <c r="U9" s="38"/>
      <c r="V9" s="38"/>
      <c r="W9" s="38"/>
      <c r="X9" s="38"/>
      <c r="Y9" s="38"/>
      <c r="Z9" s="32"/>
      <c r="AA9" s="32"/>
      <c r="AB9" s="32"/>
      <c r="AC9" s="32"/>
      <c r="AH9" s="27" t="str">
        <f aca="false">IF(AK9="จบงานแล้ว","จบงานแล้ว",IF(K9="","In Transit",IF(K9&lt;=J9,"On Time","Delayed")))</f>
        <v>In Transit</v>
      </c>
      <c r="AI9" s="26" t="str">
        <f aca="false">IFERROR(IF(AND(ISNUMBER(U9),ISNUMBER(X9)),X9-U9,""),"")</f>
        <v/>
      </c>
      <c r="AJ9" s="26" t="str">
        <f aca="false">IF(AND(J9&lt;&gt;"",K9&lt;&gt;""),MAX(0,K9-J9),"")</f>
        <v/>
      </c>
      <c r="AK9" s="27" t="str">
        <f aca="false">IF(OR(ISNUMBER(SEARCH("เคลียร์สินค้าและจัดส่งสินค้าแล้ว",Z9)),ISNUMBER(SEARCH("เคลียร์สินค้าเรียบร้อย",Z9)),ISNUMBER(SEARCH("เคลียร์สินค้าและจัดส่งแล้ว",Z9)),ISNUMBER(SEARCH("จัดส่งสินค้าแล้ว",Z9))), "จบงานแล้ว", "")</f>
        <v/>
      </c>
      <c r="AL9" s="40"/>
      <c r="AM9" s="41"/>
      <c r="AN9" s="42"/>
      <c r="AO9" s="41"/>
    </row>
    <row r="10" customFormat="false" ht="18.75" hidden="false" customHeight="true" outlineLevel="0" collapsed="false">
      <c r="A10" s="16"/>
      <c r="B10" s="17"/>
      <c r="C10" s="17"/>
      <c r="D10" s="17"/>
      <c r="E10" s="17"/>
      <c r="F10" s="17"/>
      <c r="G10" s="17"/>
      <c r="H10" s="18"/>
      <c r="I10" s="19"/>
      <c r="J10" s="19"/>
      <c r="K10" s="16"/>
      <c r="L10" s="17"/>
      <c r="M10" s="17"/>
      <c r="N10" s="17"/>
      <c r="O10" s="20"/>
      <c r="P10" s="21"/>
      <c r="Q10" s="17"/>
      <c r="R10" s="17"/>
      <c r="S10" s="43" t="n">
        <f aca="false">FALSE()</f>
        <v>0</v>
      </c>
      <c r="T10" s="17"/>
      <c r="U10" s="23"/>
      <c r="V10" s="23"/>
      <c r="W10" s="23"/>
      <c r="X10" s="23"/>
      <c r="Y10" s="23"/>
      <c r="Z10" s="17"/>
      <c r="AA10" s="22" t="b">
        <f aca="false">FALSE()</f>
        <v>0</v>
      </c>
      <c r="AB10" s="22" t="b">
        <f aca="false">FALSE()</f>
        <v>0</v>
      </c>
      <c r="AC10" s="17"/>
      <c r="AH10" s="27" t="str">
        <f aca="false">IF(AK10="จบงานแล้ว","จบงานแล้ว",IF(K10="","In Transit",IF(K10&lt;=J10,"On Time","Delayed")))</f>
        <v>In Transit</v>
      </c>
      <c r="AI10" s="26" t="str">
        <f aca="false">IFERROR(IF(AND(ISNUMBER(U10),ISNUMBER(X10)),X10-U10,""),"")</f>
        <v/>
      </c>
      <c r="AJ10" s="26" t="str">
        <f aca="false">IF(AND(J10&lt;&gt;"",K10&lt;&gt;""),MAX(0,K10-J10),"")</f>
        <v/>
      </c>
      <c r="AK10" s="27" t="str">
        <f aca="false">IF(OR(ISNUMBER(SEARCH("เคลียร์สินค้าและจัดส่งสินค้าแล้ว",Z10)),ISNUMBER(SEARCH("เคลียร์สินค้าเรียบร้อย",Z10)),ISNUMBER(SEARCH("เคลียร์สินค้าและจัดส่งแล้ว",Z10)),ISNUMBER(SEARCH("จัดส่งสินค้าแล้ว",Z10))), "จบงานแล้ว", "")</f>
        <v/>
      </c>
      <c r="AL10" s="28"/>
      <c r="AM10" s="29"/>
      <c r="AN10" s="30"/>
      <c r="AO10" s="29"/>
    </row>
    <row r="11" customFormat="false" ht="18.75" hidden="false" customHeight="true" outlineLevel="0" collapsed="false">
      <c r="A11" s="31"/>
      <c r="B11" s="32"/>
      <c r="C11" s="32"/>
      <c r="D11" s="32"/>
      <c r="E11" s="32"/>
      <c r="F11" s="32"/>
      <c r="G11" s="32"/>
      <c r="H11" s="33"/>
      <c r="I11" s="34"/>
      <c r="J11" s="34"/>
      <c r="K11" s="31"/>
      <c r="L11" s="32"/>
      <c r="M11" s="32"/>
      <c r="N11" s="32"/>
      <c r="O11" s="35"/>
      <c r="P11" s="36"/>
      <c r="Q11" s="32"/>
      <c r="R11" s="32"/>
      <c r="S11" s="39" t="b">
        <f aca="false">FALSE()</f>
        <v>0</v>
      </c>
      <c r="T11" s="32"/>
      <c r="U11" s="38"/>
      <c r="V11" s="38"/>
      <c r="W11" s="38"/>
      <c r="X11" s="38"/>
      <c r="Y11" s="38"/>
      <c r="Z11" s="32"/>
      <c r="AA11" s="39" t="b">
        <f aca="false">FALSE()</f>
        <v>0</v>
      </c>
      <c r="AB11" s="39" t="b">
        <f aca="false">FALSE()</f>
        <v>0</v>
      </c>
      <c r="AC11" s="32"/>
      <c r="AH11" s="27" t="str">
        <f aca="false">IF(AK11="จบงานแล้ว","จบงานแล้ว",IF(K11="","In Transit",IF(K11&lt;=J11,"On Time","Delayed")))</f>
        <v>In Transit</v>
      </c>
      <c r="AI11" s="26" t="str">
        <f aca="false">IFERROR(IF(AND(ISNUMBER(U11),ISNUMBER(X11)),X11-U11,""),"")</f>
        <v/>
      </c>
      <c r="AJ11" s="26" t="str">
        <f aca="false">IF(AND(J11&lt;&gt;"",K11&lt;&gt;""),MAX(0,K11-J11),"")</f>
        <v/>
      </c>
      <c r="AK11" s="27" t="str">
        <f aca="false">IF(OR(ISNUMBER(SEARCH("เคลียร์สินค้าและจัดส่งสินค้าแล้ว",Z11)),ISNUMBER(SEARCH("เคลียร์สินค้าเรียบร้อย",Z11)),ISNUMBER(SEARCH("เคลียร์สินค้าและจัดส่งแล้ว",Z11)),ISNUMBER(SEARCH("จัดส่งสินค้าแล้ว",Z11))), "จบงานแล้ว", "")</f>
        <v/>
      </c>
      <c r="AL11" s="40"/>
      <c r="AM11" s="41"/>
      <c r="AN11" s="42"/>
      <c r="AO11" s="41"/>
    </row>
    <row r="12" s="24" customFormat="true" ht="18.75" hidden="false" customHeight="true" outlineLevel="0" collapsed="false">
      <c r="A12" s="16" t="n">
        <f aca="false">ROW()-ROW($A$2)+1</f>
        <v>11</v>
      </c>
      <c r="B12" s="17"/>
      <c r="C12" s="17"/>
      <c r="D12" s="17"/>
      <c r="E12" s="17"/>
      <c r="F12" s="17"/>
      <c r="G12" s="17"/>
      <c r="H12" s="18"/>
      <c r="I12" s="19"/>
      <c r="J12" s="19"/>
      <c r="K12" s="16"/>
      <c r="L12" s="17"/>
      <c r="M12" s="17"/>
      <c r="N12" s="17"/>
      <c r="O12" s="20"/>
      <c r="P12" s="21"/>
      <c r="Q12" s="17"/>
      <c r="R12" s="17"/>
      <c r="S12" s="43" t="n">
        <f aca="false">FALSE()</f>
        <v>0</v>
      </c>
      <c r="T12" s="17"/>
      <c r="U12" s="23"/>
      <c r="V12" s="23"/>
      <c r="W12" s="23"/>
      <c r="X12" s="23"/>
      <c r="Y12" s="23"/>
      <c r="Z12" s="17"/>
      <c r="AA12" s="17"/>
      <c r="AB12" s="17"/>
      <c r="AC12" s="17"/>
      <c r="AH12" s="27" t="str">
        <f aca="false">IF(AK12="จบงานแล้ว","จบงานแล้ว",IF(K12="","In Transit",IF(K12&lt;=J12,"On Time","Delayed")))</f>
        <v>In Transit</v>
      </c>
      <c r="AI12" s="26" t="str">
        <f aca="false">IFERROR(IF(AND(ISNUMBER(U12),ISNUMBER(X12)),X12-U12,""),"")</f>
        <v/>
      </c>
      <c r="AJ12" s="26" t="str">
        <f aca="false">IF(AND(J12&lt;&gt;"",K12&lt;&gt;""),MAX(0,K12-J12),"")</f>
        <v/>
      </c>
      <c r="AK12" s="27" t="str">
        <f aca="false">IF(OR(ISNUMBER(SEARCH("เคลียร์สินค้าและจัดส่งสินค้าแล้ว",Z12)),ISNUMBER(SEARCH("เคลียร์สินค้าเรียบร้อย",Z12)),ISNUMBER(SEARCH("เคลียร์สินค้าและจัดส่งแล้ว",Z12)),ISNUMBER(SEARCH("จัดส่งสินค้าแล้ว",Z12))), "จบงานแล้ว", "")</f>
        <v/>
      </c>
      <c r="AL12" s="28"/>
      <c r="AM12" s="29"/>
      <c r="AN12" s="30"/>
      <c r="AO12" s="29"/>
    </row>
    <row r="13" customFormat="false" ht="18.75" hidden="false" customHeight="true" outlineLevel="0" collapsed="false">
      <c r="A13" s="31" t="n">
        <f aca="false">ROW()-ROW($A$2)+1</f>
        <v>12</v>
      </c>
      <c r="B13" s="32"/>
      <c r="C13" s="32"/>
      <c r="D13" s="32"/>
      <c r="E13" s="32"/>
      <c r="F13" s="32"/>
      <c r="G13" s="32"/>
      <c r="H13" s="33"/>
      <c r="I13" s="34"/>
      <c r="J13" s="34"/>
      <c r="K13" s="31"/>
      <c r="L13" s="32"/>
      <c r="M13" s="32"/>
      <c r="N13" s="32"/>
      <c r="O13" s="35"/>
      <c r="P13" s="36"/>
      <c r="Q13" s="32"/>
      <c r="R13" s="32"/>
      <c r="S13" s="37" t="n">
        <f aca="false">FALSE()</f>
        <v>0</v>
      </c>
      <c r="T13" s="32"/>
      <c r="U13" s="38"/>
      <c r="V13" s="38"/>
      <c r="W13" s="38"/>
      <c r="X13" s="38"/>
      <c r="Y13" s="38"/>
      <c r="Z13" s="32"/>
      <c r="AA13" s="32"/>
      <c r="AB13" s="32"/>
      <c r="AC13" s="32"/>
      <c r="AH13" s="27" t="str">
        <f aca="false">IF(AK13="จบงานแล้ว","จบงานแล้ว",IF(K13="","In Transit",IF(K13&lt;=J13,"On Time","Delayed")))</f>
        <v>In Transit</v>
      </c>
      <c r="AI13" s="26" t="str">
        <f aca="false">IFERROR(IF(AND(ISNUMBER(U13),ISNUMBER(X13)),X13-U13,""),"")</f>
        <v/>
      </c>
      <c r="AJ13" s="26" t="str">
        <f aca="false">IF(AND(J13&lt;&gt;"",K13&lt;&gt;""),MAX(0,K13-J13),"")</f>
        <v/>
      </c>
      <c r="AK13" s="27" t="str">
        <f aca="false">IF(OR(ISNUMBER(SEARCH("เคลียร์สินค้าและจัดส่งสินค้าแล้ว",Z13)),ISNUMBER(SEARCH("เคลียร์สินค้าเรียบร้อย",Z13)),ISNUMBER(SEARCH("เคลียร์สินค้าและจัดส่งแล้ว",Z13)),ISNUMBER(SEARCH("จัดส่งสินค้าแล้ว",Z13))), "จบงานแล้ว", "")</f>
        <v/>
      </c>
      <c r="AL13" s="40"/>
      <c r="AM13" s="41"/>
      <c r="AN13" s="42"/>
      <c r="AO13" s="41"/>
    </row>
    <row r="14" s="2" customFormat="true" ht="18.75" hidden="false" customHeight="true" outlineLevel="0" collapsed="false">
      <c r="A14" s="16" t="n">
        <f aca="false">ROW()-ROW($A$2)+1</f>
        <v>13</v>
      </c>
      <c r="B14" s="17"/>
      <c r="C14" s="17"/>
      <c r="D14" s="17"/>
      <c r="E14" s="17"/>
      <c r="F14" s="17"/>
      <c r="G14" s="17"/>
      <c r="H14" s="18"/>
      <c r="I14" s="19"/>
      <c r="J14" s="19"/>
      <c r="K14" s="16"/>
      <c r="L14" s="17"/>
      <c r="M14" s="17"/>
      <c r="N14" s="17"/>
      <c r="O14" s="20"/>
      <c r="P14" s="21"/>
      <c r="Q14" s="17"/>
      <c r="R14" s="17"/>
      <c r="S14" s="43" t="n">
        <f aca="false">FALSE()</f>
        <v>0</v>
      </c>
      <c r="T14" s="17"/>
      <c r="U14" s="23"/>
      <c r="V14" s="23"/>
      <c r="W14" s="23"/>
      <c r="X14" s="23"/>
      <c r="Y14" s="23"/>
      <c r="Z14" s="17"/>
      <c r="AA14" s="17"/>
      <c r="AB14" s="17"/>
      <c r="AC14" s="17"/>
      <c r="AH14" s="27" t="str">
        <f aca="false">IF(AK14="จบงานแล้ว","จบงานแล้ว",IF(K14="","In Transit",IF(K14&lt;=J14,"On Time","Delayed")))</f>
        <v>In Transit</v>
      </c>
      <c r="AI14" s="26" t="str">
        <f aca="false">IFERROR(IF(AND(ISNUMBER(U14),ISNUMBER(X14)),X14-U14,""),"")</f>
        <v/>
      </c>
      <c r="AJ14" s="26" t="str">
        <f aca="false">IF(AND(J14&lt;&gt;"",K14&lt;&gt;""),MAX(0,K14-J14),"")</f>
        <v/>
      </c>
      <c r="AK14" s="27" t="str">
        <f aca="false">IF(OR(ISNUMBER(SEARCH("เคลียร์สินค้าและจัดส่งสินค้าแล้ว",Z14)),ISNUMBER(SEARCH("เคลียร์สินค้าเรียบร้อย",Z14)),ISNUMBER(SEARCH("เคลียร์สินค้าและจัดส่งแล้ว",Z14)),ISNUMBER(SEARCH("จัดส่งสินค้าแล้ว",Z14))), "จบงานแล้ว", "")</f>
        <v/>
      </c>
      <c r="AL14" s="28"/>
      <c r="AM14" s="29"/>
      <c r="AN14" s="30"/>
      <c r="AO14" s="29"/>
    </row>
    <row r="15" s="2" customFormat="true" ht="18.75" hidden="false" customHeight="true" outlineLevel="0" collapsed="false">
      <c r="A15" s="31" t="n">
        <f aca="false">ROW()-ROW($A$2)+1</f>
        <v>14</v>
      </c>
      <c r="B15" s="32"/>
      <c r="C15" s="32"/>
      <c r="D15" s="32"/>
      <c r="E15" s="32"/>
      <c r="F15" s="32"/>
      <c r="G15" s="32"/>
      <c r="H15" s="33"/>
      <c r="I15" s="34"/>
      <c r="J15" s="34"/>
      <c r="K15" s="31"/>
      <c r="L15" s="32"/>
      <c r="M15" s="32"/>
      <c r="N15" s="32"/>
      <c r="O15" s="35"/>
      <c r="P15" s="36"/>
      <c r="Q15" s="32"/>
      <c r="R15" s="32"/>
      <c r="S15" s="37" t="n">
        <f aca="false">FALSE()</f>
        <v>0</v>
      </c>
      <c r="T15" s="32"/>
      <c r="U15" s="38"/>
      <c r="V15" s="38"/>
      <c r="W15" s="38"/>
      <c r="X15" s="38"/>
      <c r="Y15" s="38"/>
      <c r="Z15" s="32"/>
      <c r="AA15" s="32"/>
      <c r="AB15" s="32"/>
      <c r="AC15" s="32"/>
      <c r="AH15" s="27" t="str">
        <f aca="false">IF(AK15="จบงานแล้ว","จบงานแล้ว",IF(K15="","In Transit",IF(K15&lt;=J15,"On Time","Delayed")))</f>
        <v>In Transit</v>
      </c>
      <c r="AI15" s="26" t="str">
        <f aca="false">IFERROR(IF(AND(ISNUMBER(U15),ISNUMBER(X15)),X15-U15,""),"")</f>
        <v/>
      </c>
      <c r="AJ15" s="26" t="str">
        <f aca="false">IF(AND(J15&lt;&gt;"",K15&lt;&gt;""),MAX(0,K15-J15),"")</f>
        <v/>
      </c>
      <c r="AK15" s="27" t="str">
        <f aca="false">IF(OR(ISNUMBER(SEARCH("เคลียร์สินค้าและจัดส่งสินค้าแล้ว",Z15)),ISNUMBER(SEARCH("เคลียร์สินค้าเรียบร้อย",Z15)),ISNUMBER(SEARCH("เคลียร์สินค้าและจัดส่งแล้ว",Z15)),ISNUMBER(SEARCH("จัดส่งสินค้าแล้ว",Z15))), "จบงานแล้ว", "")</f>
        <v/>
      </c>
      <c r="AL15" s="40"/>
      <c r="AM15" s="41"/>
      <c r="AN15" s="42"/>
      <c r="AO15" s="41"/>
    </row>
    <row r="16" s="2" customFormat="true" ht="18.75" hidden="false" customHeight="true" outlineLevel="0" collapsed="false">
      <c r="A16" s="16" t="n">
        <f aca="false">ROW()-ROW($A$2)+1</f>
        <v>15</v>
      </c>
      <c r="B16" s="17"/>
      <c r="C16" s="17"/>
      <c r="D16" s="17"/>
      <c r="E16" s="17"/>
      <c r="F16" s="17"/>
      <c r="G16" s="17"/>
      <c r="H16" s="18"/>
      <c r="I16" s="19"/>
      <c r="J16" s="19"/>
      <c r="K16" s="16"/>
      <c r="L16" s="17"/>
      <c r="M16" s="17"/>
      <c r="N16" s="17"/>
      <c r="O16" s="20"/>
      <c r="P16" s="21"/>
      <c r="Q16" s="17"/>
      <c r="R16" s="17"/>
      <c r="S16" s="43" t="n">
        <f aca="false">FALSE()</f>
        <v>0</v>
      </c>
      <c r="T16" s="17"/>
      <c r="U16" s="23"/>
      <c r="V16" s="23"/>
      <c r="W16" s="23"/>
      <c r="X16" s="23"/>
      <c r="Y16" s="23"/>
      <c r="Z16" s="17"/>
      <c r="AA16" s="17"/>
      <c r="AB16" s="17"/>
      <c r="AC16" s="17"/>
      <c r="AH16" s="27" t="str">
        <f aca="false">IF(AK16="จบงานแล้ว","จบงานแล้ว",IF(K16="","In Transit",IF(K16&lt;=J16,"On Time","Delayed")))</f>
        <v>In Transit</v>
      </c>
      <c r="AI16" s="26" t="str">
        <f aca="false">IFERROR(IF(AND(ISNUMBER(U16),ISNUMBER(X16)),X16-U16,""),"")</f>
        <v/>
      </c>
      <c r="AJ16" s="26" t="str">
        <f aca="false">IF(AND(J16&lt;&gt;"",K16&lt;&gt;""),MAX(0,K16-J16),"")</f>
        <v/>
      </c>
      <c r="AK16" s="27" t="str">
        <f aca="false">IF(OR(ISNUMBER(SEARCH("เคลียร์สินค้าและจัดส่งสินค้าแล้ว",Z16)),ISNUMBER(SEARCH("เคลียร์สินค้าเรียบร้อย",Z16)),ISNUMBER(SEARCH("เคลียร์สินค้าและจัดส่งแล้ว",Z16)),ISNUMBER(SEARCH("จัดส่งสินค้าแล้ว",Z16))), "จบงานแล้ว", "")</f>
        <v/>
      </c>
      <c r="AL16" s="28"/>
      <c r="AM16" s="29"/>
      <c r="AN16" s="30"/>
      <c r="AO16" s="29"/>
    </row>
    <row r="17" s="2" customFormat="true" ht="18.75" hidden="false" customHeight="true" outlineLevel="0" collapsed="false">
      <c r="A17" s="31" t="n">
        <f aca="false">ROW()-ROW($A$2)+1</f>
        <v>16</v>
      </c>
      <c r="B17" s="32"/>
      <c r="C17" s="32"/>
      <c r="D17" s="32"/>
      <c r="E17" s="32"/>
      <c r="F17" s="32"/>
      <c r="G17" s="32"/>
      <c r="H17" s="33"/>
      <c r="I17" s="34"/>
      <c r="J17" s="34"/>
      <c r="K17" s="31"/>
      <c r="L17" s="32"/>
      <c r="M17" s="32"/>
      <c r="N17" s="32"/>
      <c r="O17" s="35"/>
      <c r="P17" s="36"/>
      <c r="Q17" s="32"/>
      <c r="R17" s="32"/>
      <c r="S17" s="37" t="n">
        <f aca="false">FALSE()</f>
        <v>0</v>
      </c>
      <c r="T17" s="32"/>
      <c r="U17" s="38"/>
      <c r="V17" s="38"/>
      <c r="W17" s="38"/>
      <c r="X17" s="38"/>
      <c r="Y17" s="38"/>
      <c r="Z17" s="32"/>
      <c r="AA17" s="32"/>
      <c r="AB17" s="32"/>
      <c r="AC17" s="32"/>
      <c r="AH17" s="27" t="str">
        <f aca="false">IF(AK17="จบงานแล้ว","จบงานแล้ว",IF(K17="","In Transit",IF(K17&lt;=J17,"On Time","Delayed")))</f>
        <v>In Transit</v>
      </c>
      <c r="AI17" s="26" t="str">
        <f aca="false">IFERROR(IF(AND(ISNUMBER(U17),ISNUMBER(X17)),X17-U17,""),"")</f>
        <v/>
      </c>
      <c r="AJ17" s="26" t="str">
        <f aca="false">IF(AND(J17&lt;&gt;"",K17&lt;&gt;""),MAX(0,K17-J17),"")</f>
        <v/>
      </c>
      <c r="AK17" s="27" t="str">
        <f aca="false">IF(OR(ISNUMBER(SEARCH("เคลียร์สินค้าและจัดส่งสินค้าแล้ว",Z17)),ISNUMBER(SEARCH("เคลียร์สินค้าเรียบร้อย",Z17)),ISNUMBER(SEARCH("เคลียร์สินค้าและจัดส่งแล้ว",Z17)),ISNUMBER(SEARCH("จัดส่งสินค้าแล้ว",Z17))), "จบงานแล้ว", "")</f>
        <v/>
      </c>
      <c r="AL17" s="40"/>
      <c r="AM17" s="41"/>
      <c r="AN17" s="42"/>
      <c r="AO17" s="41"/>
    </row>
    <row r="18" s="2" customFormat="true" ht="18.75" hidden="false" customHeight="true" outlineLevel="0" collapsed="false">
      <c r="A18" s="16" t="n">
        <f aca="false">ROW()-ROW($A$2)+1</f>
        <v>17</v>
      </c>
      <c r="B18" s="17"/>
      <c r="C18" s="17"/>
      <c r="D18" s="17"/>
      <c r="E18" s="17"/>
      <c r="F18" s="17"/>
      <c r="G18" s="17"/>
      <c r="H18" s="18"/>
      <c r="I18" s="19"/>
      <c r="J18" s="19"/>
      <c r="K18" s="16"/>
      <c r="L18" s="17"/>
      <c r="M18" s="17"/>
      <c r="N18" s="17"/>
      <c r="O18" s="20"/>
      <c r="P18" s="21"/>
      <c r="Q18" s="17"/>
      <c r="R18" s="17"/>
      <c r="S18" s="43" t="n">
        <f aca="false">FALSE()</f>
        <v>0</v>
      </c>
      <c r="T18" s="17"/>
      <c r="U18" s="23"/>
      <c r="V18" s="23"/>
      <c r="W18" s="23"/>
      <c r="X18" s="23"/>
      <c r="Y18" s="23"/>
      <c r="Z18" s="17"/>
      <c r="AA18" s="17"/>
      <c r="AB18" s="17"/>
      <c r="AC18" s="17"/>
      <c r="AH18" s="27" t="str">
        <f aca="false">IF(AK18="จบงานแล้ว","จบงานแล้ว",IF(K18="","In Transit",IF(K18&lt;=J18,"On Time","Delayed")))</f>
        <v>In Transit</v>
      </c>
      <c r="AI18" s="26" t="str">
        <f aca="false">IFERROR(IF(AND(ISNUMBER(U18),ISNUMBER(X18)),X18-U18,""),"")</f>
        <v/>
      </c>
      <c r="AJ18" s="26" t="str">
        <f aca="false">IF(AND(J18&lt;&gt;"",K18&lt;&gt;""),MAX(0,K18-J18),"")</f>
        <v/>
      </c>
      <c r="AK18" s="27" t="str">
        <f aca="false">IF(OR(ISNUMBER(SEARCH("เคลียร์สินค้าและจัดส่งสินค้าแล้ว",Z18)),ISNUMBER(SEARCH("เคลียร์สินค้าเรียบร้อย",Z18)),ISNUMBER(SEARCH("เคลียร์สินค้าและจัดส่งแล้ว",Z18)),ISNUMBER(SEARCH("จัดส่งสินค้าแล้ว",Z18))), "จบงานแล้ว", "")</f>
        <v/>
      </c>
      <c r="AL18" s="28"/>
      <c r="AM18" s="29"/>
      <c r="AN18" s="30"/>
      <c r="AO18" s="29"/>
    </row>
    <row r="19" s="2" customFormat="true" ht="18.75" hidden="false" customHeight="true" outlineLevel="0" collapsed="false">
      <c r="A19" s="31" t="n">
        <f aca="false">ROW()-ROW($A$2)+1</f>
        <v>18</v>
      </c>
      <c r="B19" s="32"/>
      <c r="C19" s="32"/>
      <c r="D19" s="32"/>
      <c r="E19" s="32"/>
      <c r="F19" s="32"/>
      <c r="G19" s="32"/>
      <c r="H19" s="33"/>
      <c r="I19" s="34"/>
      <c r="J19" s="34"/>
      <c r="K19" s="31"/>
      <c r="L19" s="32"/>
      <c r="M19" s="32"/>
      <c r="N19" s="32"/>
      <c r="O19" s="35"/>
      <c r="P19" s="36"/>
      <c r="Q19" s="32"/>
      <c r="R19" s="32"/>
      <c r="S19" s="37" t="n">
        <f aca="false">FALSE()</f>
        <v>0</v>
      </c>
      <c r="T19" s="32"/>
      <c r="U19" s="38"/>
      <c r="V19" s="38"/>
      <c r="W19" s="38"/>
      <c r="X19" s="38"/>
      <c r="Y19" s="38"/>
      <c r="Z19" s="32"/>
      <c r="AA19" s="32"/>
      <c r="AB19" s="32"/>
      <c r="AC19" s="32"/>
      <c r="AH19" s="27" t="str">
        <f aca="false">IF(AK19="จบงานแล้ว","จบงานแล้ว",IF(K19="","In Transit",IF(K19&lt;=J19,"On Time","Delayed")))</f>
        <v>In Transit</v>
      </c>
      <c r="AI19" s="26" t="str">
        <f aca="false">IFERROR(IF(AND(ISNUMBER(U19),ISNUMBER(X19)),X19-U19,""),"")</f>
        <v/>
      </c>
      <c r="AJ19" s="26" t="str">
        <f aca="false">IF(AND(J19&lt;&gt;"",K19&lt;&gt;""),MAX(0,K19-J19),"")</f>
        <v/>
      </c>
      <c r="AK19" s="27" t="str">
        <f aca="false">IF(OR(ISNUMBER(SEARCH("เคลียร์สินค้าและจัดส่งสินค้าแล้ว",Z19)),ISNUMBER(SEARCH("เคลียร์สินค้าเรียบร้อย",Z19)),ISNUMBER(SEARCH("เคลียร์สินค้าและจัดส่งแล้ว",Z19)),ISNUMBER(SEARCH("จัดส่งสินค้าแล้ว",Z19))), "จบงานแล้ว", "")</f>
        <v/>
      </c>
      <c r="AL19" s="40"/>
      <c r="AM19" s="41"/>
      <c r="AN19" s="42"/>
      <c r="AO19" s="41"/>
    </row>
    <row r="20" customFormat="false" ht="18.75" hidden="false" customHeight="true" outlineLevel="0" collapsed="false">
      <c r="A20" s="16" t="n">
        <f aca="false">ROW()-ROW($A$2)+1</f>
        <v>19</v>
      </c>
      <c r="B20" s="17"/>
      <c r="C20" s="17"/>
      <c r="D20" s="17"/>
      <c r="E20" s="17"/>
      <c r="F20" s="17"/>
      <c r="G20" s="17"/>
      <c r="H20" s="18"/>
      <c r="I20" s="19"/>
      <c r="J20" s="19"/>
      <c r="K20" s="16"/>
      <c r="L20" s="17"/>
      <c r="M20" s="17"/>
      <c r="N20" s="17"/>
      <c r="O20" s="20"/>
      <c r="P20" s="21"/>
      <c r="Q20" s="17"/>
      <c r="R20" s="17"/>
      <c r="S20" s="43" t="n">
        <f aca="false">FALSE()</f>
        <v>0</v>
      </c>
      <c r="T20" s="17"/>
      <c r="U20" s="23"/>
      <c r="V20" s="23"/>
      <c r="W20" s="23"/>
      <c r="X20" s="23"/>
      <c r="Y20" s="23"/>
      <c r="Z20" s="17"/>
      <c r="AA20" s="17"/>
      <c r="AB20" s="17"/>
      <c r="AC20" s="17"/>
      <c r="AH20" s="27" t="str">
        <f aca="false">IF(AK20="จบงานแล้ว","จบงานแล้ว",IF(K20="","In Transit",IF(K20&lt;=J20,"On Time","Delayed")))</f>
        <v>In Transit</v>
      </c>
      <c r="AI20" s="26" t="str">
        <f aca="false">IFERROR(IF(AND(ISNUMBER(U20),ISNUMBER(X20)),X20-U20,""),"")</f>
        <v/>
      </c>
      <c r="AJ20" s="26" t="str">
        <f aca="false">IF(AND(J20&lt;&gt;"",K20&lt;&gt;""),MAX(0,K20-J20),"")</f>
        <v/>
      </c>
      <c r="AK20" s="27" t="str">
        <f aca="false">IF(OR(ISNUMBER(SEARCH("เคลียร์สินค้าและจัดส่งสินค้าแล้ว",Z20)),ISNUMBER(SEARCH("เคลียร์สินค้าเรียบร้อย",Z20)),ISNUMBER(SEARCH("เคลียร์สินค้าและจัดส่งแล้ว",Z20)),ISNUMBER(SEARCH("จัดส่งสินค้าแล้ว",Z20))), "จบงานแล้ว", "")</f>
        <v/>
      </c>
      <c r="AL20" s="28"/>
      <c r="AM20" s="29"/>
      <c r="AN20" s="30"/>
      <c r="AO20" s="29"/>
    </row>
    <row r="21" customFormat="false" ht="18.75" hidden="false" customHeight="true" outlineLevel="0" collapsed="false">
      <c r="A21" s="31" t="n">
        <f aca="false">ROW()-ROW($A$2)+1</f>
        <v>20</v>
      </c>
      <c r="B21" s="32"/>
      <c r="C21" s="32"/>
      <c r="D21" s="32"/>
      <c r="E21" s="32"/>
      <c r="F21" s="32"/>
      <c r="G21" s="32"/>
      <c r="H21" s="33"/>
      <c r="I21" s="34"/>
      <c r="J21" s="34"/>
      <c r="K21" s="31"/>
      <c r="L21" s="32"/>
      <c r="M21" s="32"/>
      <c r="N21" s="32"/>
      <c r="O21" s="35"/>
      <c r="P21" s="36"/>
      <c r="Q21" s="32"/>
      <c r="R21" s="32"/>
      <c r="S21" s="37" t="n">
        <f aca="false">FALSE()</f>
        <v>0</v>
      </c>
      <c r="T21" s="32"/>
      <c r="U21" s="38"/>
      <c r="V21" s="38"/>
      <c r="W21" s="38"/>
      <c r="X21" s="38"/>
      <c r="Y21" s="38"/>
      <c r="Z21" s="32"/>
      <c r="AA21" s="32"/>
      <c r="AB21" s="32"/>
      <c r="AC21" s="32"/>
      <c r="AH21" s="27" t="str">
        <f aca="false">IF(AK21="จบงานแล้ว","จบงานแล้ว",IF(K21="","In Transit",IF(K21&lt;=J21,"On Time","Delayed")))</f>
        <v>In Transit</v>
      </c>
      <c r="AI21" s="26" t="str">
        <f aca="false">IFERROR(IF(AND(ISNUMBER(U21),ISNUMBER(X21)),X21-U21,""),"")</f>
        <v/>
      </c>
      <c r="AJ21" s="26" t="str">
        <f aca="false">IF(AND(J21&lt;&gt;"",K21&lt;&gt;""),MAX(0,K21-J21),"")</f>
        <v/>
      </c>
      <c r="AK21" s="27" t="str">
        <f aca="false">IF(OR(ISNUMBER(SEARCH("เคลียร์สินค้าและจัดส่งสินค้าแล้ว",Z21)),ISNUMBER(SEARCH("เคลียร์สินค้าเรียบร้อย",Z21)),ISNUMBER(SEARCH("เคลียร์สินค้าและจัดส่งแล้ว",Z21)),ISNUMBER(SEARCH("จัดส่งสินค้าแล้ว",Z21))), "จบงานแล้ว", "")</f>
        <v/>
      </c>
      <c r="AL21" s="40"/>
      <c r="AM21" s="41"/>
      <c r="AN21" s="42"/>
      <c r="AO21" s="41"/>
    </row>
    <row r="22" s="2" customFormat="true" ht="18.75" hidden="false" customHeight="true" outlineLevel="0" collapsed="false">
      <c r="A22" s="16" t="n">
        <f aca="false">ROW()-ROW($A$2)+1</f>
        <v>21</v>
      </c>
      <c r="B22" s="17"/>
      <c r="C22" s="17"/>
      <c r="D22" s="17"/>
      <c r="E22" s="17"/>
      <c r="F22" s="17"/>
      <c r="G22" s="17"/>
      <c r="H22" s="18"/>
      <c r="I22" s="19"/>
      <c r="J22" s="19"/>
      <c r="K22" s="16"/>
      <c r="L22" s="17"/>
      <c r="M22" s="17"/>
      <c r="N22" s="17"/>
      <c r="O22" s="20"/>
      <c r="P22" s="21"/>
      <c r="Q22" s="17"/>
      <c r="R22" s="17"/>
      <c r="S22" s="43" t="n">
        <f aca="false">FALSE()</f>
        <v>0</v>
      </c>
      <c r="T22" s="17"/>
      <c r="U22" s="23"/>
      <c r="V22" s="23"/>
      <c r="W22" s="23"/>
      <c r="X22" s="23"/>
      <c r="Y22" s="23"/>
      <c r="Z22" s="17"/>
      <c r="AA22" s="17"/>
      <c r="AB22" s="17"/>
      <c r="AC22" s="17"/>
      <c r="AH22" s="27" t="str">
        <f aca="false">IF(AK22="จบงานแล้ว","จบงานแล้ว",IF(K22="","In Transit",IF(K22&lt;=J22,"On Time","Delayed")))</f>
        <v>In Transit</v>
      </c>
      <c r="AI22" s="26" t="str">
        <f aca="false">IFERROR(IF(AND(ISNUMBER(U22),ISNUMBER(X22)),X22-U22,""),"")</f>
        <v/>
      </c>
      <c r="AJ22" s="26" t="str">
        <f aca="false">IF(AND(J22&lt;&gt;"",K22&lt;&gt;""),MAX(0,K22-J22),"")</f>
        <v/>
      </c>
      <c r="AK22" s="27" t="str">
        <f aca="false">IF(OR(ISNUMBER(SEARCH("เคลียร์สินค้าและจัดส่งสินค้าแล้ว",Z22)),ISNUMBER(SEARCH("เคลียร์สินค้าเรียบร้อย",Z22)),ISNUMBER(SEARCH("เคลียร์สินค้าและจัดส่งแล้ว",Z22)),ISNUMBER(SEARCH("จัดส่งสินค้าแล้ว",Z22))), "จบงานแล้ว", "")</f>
        <v/>
      </c>
      <c r="AL22" s="28"/>
      <c r="AM22" s="29"/>
      <c r="AN22" s="30"/>
      <c r="AO22" s="29"/>
    </row>
    <row r="23" customFormat="false" ht="18.75" hidden="false" customHeight="true" outlineLevel="0" collapsed="false">
      <c r="A23" s="31" t="n">
        <f aca="false">ROW()-ROW($A$2)+1</f>
        <v>22</v>
      </c>
      <c r="B23" s="32"/>
      <c r="C23" s="32"/>
      <c r="D23" s="32"/>
      <c r="E23" s="32"/>
      <c r="F23" s="32"/>
      <c r="G23" s="32"/>
      <c r="H23" s="33"/>
      <c r="I23" s="34"/>
      <c r="J23" s="34"/>
      <c r="K23" s="31"/>
      <c r="L23" s="32"/>
      <c r="M23" s="32"/>
      <c r="N23" s="32"/>
      <c r="O23" s="35"/>
      <c r="P23" s="36"/>
      <c r="Q23" s="32"/>
      <c r="R23" s="32"/>
      <c r="S23" s="37" t="n">
        <f aca="false">FALSE()</f>
        <v>0</v>
      </c>
      <c r="T23" s="32"/>
      <c r="U23" s="38"/>
      <c r="V23" s="38"/>
      <c r="W23" s="38"/>
      <c r="X23" s="38"/>
      <c r="Y23" s="38"/>
      <c r="Z23" s="32"/>
      <c r="AA23" s="32"/>
      <c r="AB23" s="32"/>
      <c r="AC23" s="32"/>
      <c r="AH23" s="27" t="str">
        <f aca="false">IF(AK23="จบงานแล้ว","จบงานแล้ว",IF(K23="","In Transit",IF(K23&lt;=J23,"On Time","Delayed")))</f>
        <v>In Transit</v>
      </c>
      <c r="AI23" s="26" t="str">
        <f aca="false">IFERROR(IF(AND(ISNUMBER(U23),ISNUMBER(X23)),X23-U23,""),"")</f>
        <v/>
      </c>
      <c r="AJ23" s="26" t="str">
        <f aca="false">IF(AND(J23&lt;&gt;"",K23&lt;&gt;""),MAX(0,K23-J23),"")</f>
        <v/>
      </c>
      <c r="AK23" s="27" t="str">
        <f aca="false">IF(OR(ISNUMBER(SEARCH("เคลียร์สินค้าและจัดส่งสินค้าแล้ว",Z23)),ISNUMBER(SEARCH("เคลียร์สินค้าเรียบร้อย",Z23)),ISNUMBER(SEARCH("เคลียร์สินค้าและจัดส่งแล้ว",Z23)),ISNUMBER(SEARCH("จัดส่งสินค้าแล้ว",Z23))), "จบงานแล้ว", "")</f>
        <v/>
      </c>
      <c r="AL23" s="40"/>
      <c r="AM23" s="41"/>
      <c r="AN23" s="42"/>
      <c r="AO23" s="41"/>
    </row>
    <row r="24" s="2" customFormat="true" ht="18.75" hidden="false" customHeight="true" outlineLevel="0" collapsed="false">
      <c r="A24" s="16" t="n">
        <f aca="false">ROW()-ROW($A$2)+1</f>
        <v>23</v>
      </c>
      <c r="B24" s="17"/>
      <c r="C24" s="17"/>
      <c r="D24" s="17"/>
      <c r="E24" s="17"/>
      <c r="F24" s="17"/>
      <c r="G24" s="17"/>
      <c r="H24" s="18"/>
      <c r="I24" s="19"/>
      <c r="J24" s="19"/>
      <c r="K24" s="16"/>
      <c r="L24" s="17"/>
      <c r="M24" s="17"/>
      <c r="N24" s="17"/>
      <c r="O24" s="20"/>
      <c r="P24" s="21"/>
      <c r="Q24" s="17"/>
      <c r="R24" s="17"/>
      <c r="S24" s="43" t="n">
        <f aca="false">FALSE()</f>
        <v>0</v>
      </c>
      <c r="T24" s="17"/>
      <c r="U24" s="23"/>
      <c r="V24" s="23"/>
      <c r="W24" s="23"/>
      <c r="X24" s="23"/>
      <c r="Y24" s="23"/>
      <c r="Z24" s="17"/>
      <c r="AA24" s="17"/>
      <c r="AB24" s="17"/>
      <c r="AC24" s="17"/>
      <c r="AH24" s="27" t="str">
        <f aca="false">IF(AK24="จบงานแล้ว","จบงานแล้ว",IF(K24="","In Transit",IF(K24&lt;=J24,"On Time","Delayed")))</f>
        <v>In Transit</v>
      </c>
      <c r="AI24" s="26" t="str">
        <f aca="false">IFERROR(IF(AND(ISNUMBER(U24),ISNUMBER(X24)),X24-U24,""),"")</f>
        <v/>
      </c>
      <c r="AJ24" s="26" t="str">
        <f aca="false">IF(AND(J24&lt;&gt;"",K24&lt;&gt;""),MAX(0,K24-J24),"")</f>
        <v/>
      </c>
      <c r="AK24" s="27" t="str">
        <f aca="false">IF(OR(ISNUMBER(SEARCH("เคลียร์สินค้าและจัดส่งสินค้าแล้ว",Z24)),ISNUMBER(SEARCH("เคลียร์สินค้าเรียบร้อย",Z24)),ISNUMBER(SEARCH("เคลียร์สินค้าและจัดส่งแล้ว",Z24)),ISNUMBER(SEARCH("จัดส่งสินค้าแล้ว",Z24))), "จบงานแล้ว", "")</f>
        <v/>
      </c>
      <c r="AL24" s="28"/>
      <c r="AM24" s="29"/>
      <c r="AN24" s="30"/>
      <c r="AO24" s="29"/>
    </row>
    <row r="25" s="2" customFormat="true" ht="18.75" hidden="false" customHeight="true" outlineLevel="0" collapsed="false">
      <c r="A25" s="31"/>
      <c r="B25" s="32"/>
      <c r="C25" s="32"/>
      <c r="D25" s="32"/>
      <c r="E25" s="32"/>
      <c r="F25" s="32"/>
      <c r="G25" s="32"/>
      <c r="H25" s="33"/>
      <c r="I25" s="34"/>
      <c r="J25" s="34"/>
      <c r="K25" s="31"/>
      <c r="L25" s="32"/>
      <c r="M25" s="32"/>
      <c r="N25" s="32"/>
      <c r="O25" s="35"/>
      <c r="P25" s="36"/>
      <c r="Q25" s="32"/>
      <c r="R25" s="32"/>
      <c r="S25" s="37" t="n">
        <f aca="false">FALSE()</f>
        <v>0</v>
      </c>
      <c r="T25" s="32"/>
      <c r="U25" s="38"/>
      <c r="V25" s="38"/>
      <c r="W25" s="38"/>
      <c r="X25" s="38"/>
      <c r="Y25" s="38"/>
      <c r="Z25" s="32"/>
      <c r="AA25" s="39" t="b">
        <f aca="false">FALSE()</f>
        <v>0</v>
      </c>
      <c r="AB25" s="39" t="b">
        <f aca="false">FALSE()</f>
        <v>0</v>
      </c>
      <c r="AC25" s="32"/>
      <c r="AH25" s="27" t="str">
        <f aca="false">IF(AK25="จบงานแล้ว","จบงานแล้ว",IF(K25="","In Transit",IF(K25&lt;=J25,"On Time","Delayed")))</f>
        <v>In Transit</v>
      </c>
      <c r="AI25" s="26" t="str">
        <f aca="false">IFERROR(IF(AND(ISNUMBER(U25),ISNUMBER(X25)),X25-U25,""),"")</f>
        <v/>
      </c>
      <c r="AJ25" s="26" t="str">
        <f aca="false">IF(AND(J25&lt;&gt;"",K25&lt;&gt;""),MAX(0,K25-J25),"")</f>
        <v/>
      </c>
      <c r="AK25" s="27" t="str">
        <f aca="false">IF(OR(ISNUMBER(SEARCH("เคลียร์สินค้าและจัดส่งสินค้าแล้ว",Z25)),ISNUMBER(SEARCH("เคลียร์สินค้าเรียบร้อย",Z25)),ISNUMBER(SEARCH("เคลียร์สินค้าและจัดส่งแล้ว",Z25)),ISNUMBER(SEARCH("จัดส่งสินค้าแล้ว",Z25))), "จบงานแล้ว", "")</f>
        <v/>
      </c>
      <c r="AL25" s="40"/>
      <c r="AM25" s="41"/>
      <c r="AN25" s="42"/>
      <c r="AO25" s="41"/>
    </row>
    <row r="26" s="2" customFormat="true" ht="18.75" hidden="false" customHeight="true" outlineLevel="0" collapsed="false">
      <c r="A26" s="16" t="n">
        <f aca="false">ROW()-ROW($A$2)+1</f>
        <v>25</v>
      </c>
      <c r="B26" s="17"/>
      <c r="C26" s="17"/>
      <c r="D26" s="17"/>
      <c r="E26" s="17"/>
      <c r="F26" s="17"/>
      <c r="G26" s="17"/>
      <c r="H26" s="18"/>
      <c r="I26" s="19"/>
      <c r="J26" s="19"/>
      <c r="K26" s="16"/>
      <c r="L26" s="17"/>
      <c r="M26" s="17"/>
      <c r="N26" s="17"/>
      <c r="O26" s="20"/>
      <c r="P26" s="21"/>
      <c r="Q26" s="17"/>
      <c r="R26" s="17"/>
      <c r="S26" s="43"/>
      <c r="T26" s="17"/>
      <c r="U26" s="23"/>
      <c r="V26" s="23"/>
      <c r="W26" s="23"/>
      <c r="X26" s="23"/>
      <c r="Y26" s="23"/>
      <c r="Z26" s="17"/>
      <c r="AA26" s="17"/>
      <c r="AB26" s="17"/>
      <c r="AC26" s="17"/>
      <c r="AH26" s="27" t="str">
        <f aca="false">IF(AK26="จบงานแล้ว","จบงานแล้ว",IF(K26="","In Transit",IF(K26&lt;=J26,"On Time","Delayed")))</f>
        <v>In Transit</v>
      </c>
      <c r="AI26" s="26" t="str">
        <f aca="false">IFERROR(IF(AND(ISNUMBER(U26),ISNUMBER(X26)),X26-U26,""),"")</f>
        <v/>
      </c>
      <c r="AJ26" s="26" t="str">
        <f aca="false">IF(AND(J26&lt;&gt;"",K26&lt;&gt;""),MAX(0,K26-J26),"")</f>
        <v/>
      </c>
      <c r="AK26" s="27" t="str">
        <f aca="false">IF(OR(ISNUMBER(SEARCH("เคลียร์สินค้าและจัดส่งสินค้าแล้ว",Z26)),ISNUMBER(SEARCH("เคลียร์สินค้าเรียบร้อย",Z26)),ISNUMBER(SEARCH("เคลียร์สินค้าและจัดส่งแล้ว",Z26)),ISNUMBER(SEARCH("จัดส่งสินค้าแล้ว",Z26))), "จบงานแล้ว", "")</f>
        <v/>
      </c>
      <c r="AL26" s="28"/>
      <c r="AM26" s="29"/>
      <c r="AN26" s="30"/>
      <c r="AO26" s="29"/>
    </row>
    <row r="27" s="2" customFormat="true" ht="18.75" hidden="false" customHeight="true" outlineLevel="0" collapsed="false">
      <c r="A27" s="31"/>
      <c r="B27" s="32"/>
      <c r="C27" s="32"/>
      <c r="D27" s="32"/>
      <c r="E27" s="32"/>
      <c r="F27" s="32"/>
      <c r="G27" s="32"/>
      <c r="H27" s="33"/>
      <c r="I27" s="34"/>
      <c r="J27" s="34"/>
      <c r="K27" s="31"/>
      <c r="L27" s="32"/>
      <c r="M27" s="32"/>
      <c r="N27" s="32"/>
      <c r="O27" s="35"/>
      <c r="P27" s="36"/>
      <c r="Q27" s="32"/>
      <c r="R27" s="32"/>
      <c r="S27" s="37" t="n">
        <f aca="false">FALSE()</f>
        <v>0</v>
      </c>
      <c r="T27" s="32"/>
      <c r="U27" s="38"/>
      <c r="V27" s="38"/>
      <c r="W27" s="38"/>
      <c r="X27" s="38"/>
      <c r="Y27" s="38"/>
      <c r="Z27" s="32"/>
      <c r="AA27" s="32"/>
      <c r="AB27" s="32"/>
      <c r="AC27" s="32"/>
      <c r="AH27" s="27" t="str">
        <f aca="false">IF(AK27="จบงานแล้ว","จบงานแล้ว",IF(K27="","In Transit",IF(K27&lt;=J27,"On Time","Delayed")))</f>
        <v>In Transit</v>
      </c>
      <c r="AI27" s="26" t="str">
        <f aca="false">IFERROR(IF(AND(ISNUMBER(U27),ISNUMBER(X27)),X27-U27,""),"")</f>
        <v/>
      </c>
      <c r="AJ27" s="26" t="str">
        <f aca="false">IF(AND(J27&lt;&gt;"",K27&lt;&gt;""),MAX(0,K27-J27),"")</f>
        <v/>
      </c>
      <c r="AK27" s="27" t="str">
        <f aca="false">IF(OR(ISNUMBER(SEARCH("เคลียร์สินค้าและจัดส่งสินค้าแล้ว",Z27)),ISNUMBER(SEARCH("เคลียร์สินค้าเรียบร้อย",Z27)),ISNUMBER(SEARCH("เคลียร์สินค้าและจัดส่งแล้ว",Z27)),ISNUMBER(SEARCH("จัดส่งสินค้าแล้ว",Z27))), "จบงานแล้ว", "")</f>
        <v/>
      </c>
      <c r="AL27" s="40"/>
      <c r="AM27" s="41"/>
      <c r="AN27" s="42"/>
      <c r="AO27" s="41"/>
    </row>
    <row r="28" s="2" customFormat="true" ht="18.75" hidden="false" customHeight="true" outlineLevel="0" collapsed="false">
      <c r="A28" s="16"/>
      <c r="B28" s="17"/>
      <c r="C28" s="17"/>
      <c r="D28" s="17"/>
      <c r="E28" s="17"/>
      <c r="F28" s="17"/>
      <c r="G28" s="17"/>
      <c r="H28" s="18"/>
      <c r="I28" s="19"/>
      <c r="J28" s="19"/>
      <c r="K28" s="16"/>
      <c r="L28" s="17"/>
      <c r="M28" s="17"/>
      <c r="N28" s="17"/>
      <c r="O28" s="20"/>
      <c r="P28" s="21"/>
      <c r="Q28" s="17"/>
      <c r="R28" s="17"/>
      <c r="S28" s="43" t="n">
        <f aca="false">FALSE()</f>
        <v>0</v>
      </c>
      <c r="T28" s="17"/>
      <c r="U28" s="23"/>
      <c r="V28" s="23"/>
      <c r="W28" s="23"/>
      <c r="X28" s="23"/>
      <c r="Y28" s="23"/>
      <c r="Z28" s="17"/>
      <c r="AA28" s="17"/>
      <c r="AB28" s="17"/>
      <c r="AC28" s="17"/>
      <c r="AH28" s="27" t="str">
        <f aca="false">IF(AK28="จบงานแล้ว","จบงานแล้ว",IF(K28="","In Transit",IF(K28&lt;=J28,"On Time","Delayed")))</f>
        <v>In Transit</v>
      </c>
      <c r="AI28" s="26" t="str">
        <f aca="false">IFERROR(IF(AND(ISNUMBER(U28),ISNUMBER(X28)),X28-U28,""),"")</f>
        <v/>
      </c>
      <c r="AJ28" s="26" t="str">
        <f aca="false">IF(AND(J28&lt;&gt;"",K28&lt;&gt;""),MAX(0,K28-J28),"")</f>
        <v/>
      </c>
      <c r="AK28" s="27" t="str">
        <f aca="false">IF(OR(ISNUMBER(SEARCH("เคลียร์สินค้าและจัดส่งสินค้าแล้ว",Z28)),ISNUMBER(SEARCH("เคลียร์สินค้าเรียบร้อย",Z28)),ISNUMBER(SEARCH("เคลียร์สินค้าและจัดส่งแล้ว",Z28)),ISNUMBER(SEARCH("จัดส่งสินค้าแล้ว",Z28))), "จบงานแล้ว", "")</f>
        <v/>
      </c>
      <c r="AL28" s="28"/>
      <c r="AM28" s="29"/>
      <c r="AN28" s="30"/>
      <c r="AO28" s="29"/>
    </row>
    <row r="29" customFormat="false" ht="18.75" hidden="false" customHeight="true" outlineLevel="0" collapsed="false">
      <c r="A29" s="31" t="n">
        <f aca="false">ROW()-ROW($A$2)+1</f>
        <v>28</v>
      </c>
      <c r="B29" s="32"/>
      <c r="C29" s="32"/>
      <c r="D29" s="32"/>
      <c r="E29" s="32"/>
      <c r="F29" s="32"/>
      <c r="G29" s="32"/>
      <c r="H29" s="33"/>
      <c r="I29" s="34"/>
      <c r="J29" s="34"/>
      <c r="K29" s="31"/>
      <c r="L29" s="32"/>
      <c r="M29" s="32"/>
      <c r="N29" s="32"/>
      <c r="O29" s="35"/>
      <c r="P29" s="36"/>
      <c r="Q29" s="32"/>
      <c r="R29" s="32"/>
      <c r="S29" s="37" t="n">
        <f aca="false">FALSE()</f>
        <v>0</v>
      </c>
      <c r="T29" s="32"/>
      <c r="U29" s="38"/>
      <c r="V29" s="38"/>
      <c r="W29" s="38"/>
      <c r="X29" s="38"/>
      <c r="Y29" s="38"/>
      <c r="Z29" s="32"/>
      <c r="AA29" s="32"/>
      <c r="AB29" s="32"/>
      <c r="AC29" s="32"/>
      <c r="AH29" s="27" t="str">
        <f aca="false">IF(AK29="จบงานแล้ว","จบงานแล้ว",IF(K29="","In Transit",IF(K29&lt;=J29,"On Time","Delayed")))</f>
        <v>In Transit</v>
      </c>
      <c r="AI29" s="26" t="str">
        <f aca="false">IFERROR(IF(AND(ISNUMBER(U29),ISNUMBER(X29)),X29-U29,""),"")</f>
        <v/>
      </c>
      <c r="AJ29" s="26" t="str">
        <f aca="false">IF(AND(J29&lt;&gt;"",K29&lt;&gt;""),MAX(0,K29-J29),"")</f>
        <v/>
      </c>
      <c r="AK29" s="27" t="str">
        <f aca="false">IF(OR(ISNUMBER(SEARCH("เคลียร์สินค้าและจัดส่งสินค้าแล้ว",Z29)),ISNUMBER(SEARCH("เคลียร์สินค้าเรียบร้อย",Z29)),ISNUMBER(SEARCH("เคลียร์สินค้าและจัดส่งแล้ว",Z29)),ISNUMBER(SEARCH("จัดส่งสินค้าแล้ว",Z29))), "จบงานแล้ว", "")</f>
        <v/>
      </c>
      <c r="AL29" s="40"/>
      <c r="AM29" s="41"/>
      <c r="AN29" s="42"/>
      <c r="AO29" s="41"/>
    </row>
    <row r="30" customFormat="false" ht="18.75" hidden="false" customHeight="true" outlineLevel="0" collapsed="false">
      <c r="A30" s="16" t="n">
        <f aca="false">ROW()-ROW($A$2)+1</f>
        <v>29</v>
      </c>
      <c r="B30" s="17"/>
      <c r="C30" s="17"/>
      <c r="D30" s="17"/>
      <c r="E30" s="17"/>
      <c r="F30" s="17"/>
      <c r="G30" s="17"/>
      <c r="H30" s="18"/>
      <c r="I30" s="19"/>
      <c r="J30" s="19"/>
      <c r="K30" s="16"/>
      <c r="L30" s="17"/>
      <c r="M30" s="17"/>
      <c r="N30" s="17"/>
      <c r="O30" s="20"/>
      <c r="P30" s="21"/>
      <c r="Q30" s="17"/>
      <c r="R30" s="17"/>
      <c r="S30" s="43" t="n">
        <f aca="false">FALSE()</f>
        <v>0</v>
      </c>
      <c r="T30" s="17"/>
      <c r="U30" s="23"/>
      <c r="V30" s="23"/>
      <c r="W30" s="23"/>
      <c r="X30" s="23"/>
      <c r="Y30" s="23"/>
      <c r="Z30" s="17"/>
      <c r="AA30" s="17"/>
      <c r="AB30" s="17"/>
      <c r="AC30" s="17"/>
      <c r="AH30" s="27" t="str">
        <f aca="false">IF(AK30="จบงานแล้ว","จบงานแล้ว",IF(K30="","In Transit",IF(K30&lt;=J30,"On Time","Delayed")))</f>
        <v>In Transit</v>
      </c>
      <c r="AI30" s="26" t="str">
        <f aca="false">IFERROR(IF(AND(ISNUMBER(U30),ISNUMBER(X30)),X30-U30,""),"")</f>
        <v/>
      </c>
      <c r="AJ30" s="26" t="str">
        <f aca="false">IF(AND(J30&lt;&gt;"",K30&lt;&gt;""),MAX(0,K30-J30),"")</f>
        <v/>
      </c>
      <c r="AK30" s="27" t="str">
        <f aca="false">IF(OR(ISNUMBER(SEARCH("เคลียร์สินค้าและจัดส่งสินค้าแล้ว",Z30)),ISNUMBER(SEARCH("เคลียร์สินค้าเรียบร้อย",Z30)),ISNUMBER(SEARCH("เคลียร์สินค้าและจัดส่งแล้ว",Z30)),ISNUMBER(SEARCH("จัดส่งสินค้าแล้ว",Z30))), "จบงานแล้ว", "")</f>
        <v/>
      </c>
      <c r="AL30" s="28"/>
      <c r="AM30" s="29"/>
      <c r="AN30" s="30"/>
      <c r="AO30" s="29"/>
    </row>
    <row r="31" s="2" customFormat="true" ht="18.75" hidden="false" customHeight="true" outlineLevel="0" collapsed="false">
      <c r="A31" s="31" t="n">
        <f aca="false">ROW()-ROW($A$2)+1</f>
        <v>30</v>
      </c>
      <c r="B31" s="32"/>
      <c r="C31" s="32"/>
      <c r="D31" s="32"/>
      <c r="E31" s="32"/>
      <c r="F31" s="32"/>
      <c r="G31" s="32"/>
      <c r="H31" s="33"/>
      <c r="I31" s="34"/>
      <c r="J31" s="34"/>
      <c r="K31" s="31"/>
      <c r="L31" s="32"/>
      <c r="M31" s="32"/>
      <c r="N31" s="32"/>
      <c r="O31" s="35"/>
      <c r="P31" s="36"/>
      <c r="Q31" s="32"/>
      <c r="R31" s="32"/>
      <c r="S31" s="37" t="n">
        <f aca="false">FALSE()</f>
        <v>0</v>
      </c>
      <c r="T31" s="32"/>
      <c r="U31" s="38"/>
      <c r="V31" s="38"/>
      <c r="W31" s="38"/>
      <c r="X31" s="38"/>
      <c r="Y31" s="38"/>
      <c r="Z31" s="32"/>
      <c r="AA31" s="32"/>
      <c r="AB31" s="32"/>
      <c r="AC31" s="32"/>
      <c r="AH31" s="27" t="str">
        <f aca="false">IF(AK31="จบงานแล้ว","จบงานแล้ว",IF(K31="","In Transit",IF(K31&lt;=J31,"On Time","Delayed")))</f>
        <v>In Transit</v>
      </c>
      <c r="AI31" s="26" t="str">
        <f aca="false">IFERROR(IF(AND(ISNUMBER(U31),ISNUMBER(X31)),X31-U31,""),"")</f>
        <v/>
      </c>
      <c r="AJ31" s="26" t="str">
        <f aca="false">IF(AND(J31&lt;&gt;"",K31&lt;&gt;""),MAX(0,K31-J31),"")</f>
        <v/>
      </c>
      <c r="AK31" s="27" t="str">
        <f aca="false">IF(OR(ISNUMBER(SEARCH("เคลียร์สินค้าและจัดส่งสินค้าแล้ว",Z31)),ISNUMBER(SEARCH("เคลียร์สินค้าเรียบร้อย",Z31)),ISNUMBER(SEARCH("เคลียร์สินค้าและจัดส่งแล้ว",Z31)),ISNUMBER(SEARCH("จัดส่งสินค้าแล้ว",Z31))), "จบงานแล้ว", "")</f>
        <v/>
      </c>
      <c r="AL31" s="40"/>
      <c r="AM31" s="41"/>
      <c r="AN31" s="42"/>
      <c r="AO31" s="41"/>
    </row>
    <row r="32" s="2" customFormat="true" ht="18.75" hidden="false" customHeight="true" outlineLevel="0" collapsed="false">
      <c r="A32" s="16" t="n">
        <f aca="false">ROW()-ROW($A$2)+1</f>
        <v>31</v>
      </c>
      <c r="B32" s="17"/>
      <c r="C32" s="17"/>
      <c r="D32" s="17"/>
      <c r="E32" s="17"/>
      <c r="F32" s="17"/>
      <c r="G32" s="17"/>
      <c r="H32" s="18"/>
      <c r="I32" s="19"/>
      <c r="J32" s="19"/>
      <c r="K32" s="16"/>
      <c r="L32" s="17"/>
      <c r="M32" s="17"/>
      <c r="N32" s="17"/>
      <c r="O32" s="20"/>
      <c r="P32" s="21"/>
      <c r="Q32" s="17"/>
      <c r="R32" s="17"/>
      <c r="S32" s="43"/>
      <c r="T32" s="17"/>
      <c r="U32" s="23"/>
      <c r="V32" s="23"/>
      <c r="W32" s="23"/>
      <c r="X32" s="23"/>
      <c r="Y32" s="23"/>
      <c r="Z32" s="17"/>
      <c r="AA32" s="17"/>
      <c r="AB32" s="17"/>
      <c r="AC32" s="17"/>
      <c r="AH32" s="27" t="str">
        <f aca="false">IF(AK32="จบงานแล้ว","จบงานแล้ว",IF(K32="","In Transit",IF(K32&lt;=J32,"On Time","Delayed")))</f>
        <v>In Transit</v>
      </c>
      <c r="AI32" s="26" t="str">
        <f aca="false">IFERROR(IF(AND(ISNUMBER(U32),ISNUMBER(X32)),X32-U32,""),"")</f>
        <v/>
      </c>
      <c r="AJ32" s="26" t="str">
        <f aca="false">IF(AND(J32&lt;&gt;"",K32&lt;&gt;""),MAX(0,K32-J32),"")</f>
        <v/>
      </c>
      <c r="AK32" s="27" t="str">
        <f aca="false">IF(OR(ISNUMBER(SEARCH("เคลียร์สินค้าและจัดส่งสินค้าแล้ว",Z32)),ISNUMBER(SEARCH("เคลียร์สินค้าเรียบร้อย",Z32)),ISNUMBER(SEARCH("เคลียร์สินค้าและจัดส่งแล้ว",Z32)),ISNUMBER(SEARCH("จัดส่งสินค้าแล้ว",Z32))), "จบงานแล้ว", "")</f>
        <v/>
      </c>
      <c r="AL32" s="28"/>
      <c r="AM32" s="29"/>
      <c r="AN32" s="30"/>
      <c r="AO32" s="29"/>
    </row>
    <row r="33" s="2" customFormat="true" ht="18.75" hidden="false" customHeight="true" outlineLevel="0" collapsed="false">
      <c r="A33" s="31" t="n">
        <f aca="false">ROW()-ROW($A$2)+1</f>
        <v>32</v>
      </c>
      <c r="B33" s="32"/>
      <c r="C33" s="32"/>
      <c r="D33" s="32"/>
      <c r="E33" s="32"/>
      <c r="F33" s="32"/>
      <c r="G33" s="32"/>
      <c r="H33" s="33"/>
      <c r="I33" s="34"/>
      <c r="J33" s="34"/>
      <c r="K33" s="31"/>
      <c r="L33" s="32"/>
      <c r="M33" s="32"/>
      <c r="N33" s="32"/>
      <c r="O33" s="35"/>
      <c r="P33" s="36"/>
      <c r="Q33" s="32"/>
      <c r="R33" s="32"/>
      <c r="S33" s="37" t="n">
        <f aca="false">FALSE()</f>
        <v>0</v>
      </c>
      <c r="T33" s="32"/>
      <c r="U33" s="38"/>
      <c r="V33" s="38"/>
      <c r="W33" s="38"/>
      <c r="X33" s="38"/>
      <c r="Y33" s="38"/>
      <c r="Z33" s="32"/>
      <c r="AA33" s="32"/>
      <c r="AB33" s="32"/>
      <c r="AC33" s="32"/>
      <c r="AH33" s="27" t="str">
        <f aca="false">IF(AK33="จบงานแล้ว","จบงานแล้ว",IF(K33="","In Transit",IF(K33&lt;=J33,"On Time","Delayed")))</f>
        <v>In Transit</v>
      </c>
      <c r="AI33" s="26" t="str">
        <f aca="false">IFERROR(IF(AND(ISNUMBER(U33),ISNUMBER(X33)),X33-U33,""),"")</f>
        <v/>
      </c>
      <c r="AJ33" s="26" t="str">
        <f aca="false">IF(AND(J33&lt;&gt;"",K33&lt;&gt;""),MAX(0,K33-J33),"")</f>
        <v/>
      </c>
      <c r="AK33" s="27" t="str">
        <f aca="false">IF(OR(ISNUMBER(SEARCH("เคลียร์สินค้าและจัดส่งสินค้าแล้ว",Z33)),ISNUMBER(SEARCH("เคลียร์สินค้าเรียบร้อย",Z33)),ISNUMBER(SEARCH("เคลียร์สินค้าและจัดส่งแล้ว",Z33)),ISNUMBER(SEARCH("จัดส่งสินค้าแล้ว",Z33))), "จบงานแล้ว", "")</f>
        <v/>
      </c>
      <c r="AL33" s="40"/>
      <c r="AM33" s="41"/>
      <c r="AN33" s="42"/>
      <c r="AO33" s="41"/>
    </row>
    <row r="34" s="2" customFormat="true" ht="18.75" hidden="false" customHeight="true" outlineLevel="0" collapsed="false">
      <c r="A34" s="16" t="n">
        <f aca="false">ROW()-ROW($A$2)+1</f>
        <v>33</v>
      </c>
      <c r="B34" s="17"/>
      <c r="C34" s="17"/>
      <c r="D34" s="17"/>
      <c r="E34" s="17"/>
      <c r="F34" s="17"/>
      <c r="G34" s="17"/>
      <c r="H34" s="18"/>
      <c r="I34" s="19"/>
      <c r="J34" s="19"/>
      <c r="K34" s="16"/>
      <c r="L34" s="17"/>
      <c r="M34" s="17"/>
      <c r="N34" s="17"/>
      <c r="O34" s="20"/>
      <c r="P34" s="21"/>
      <c r="Q34" s="17"/>
      <c r="R34" s="17"/>
      <c r="S34" s="43" t="n">
        <f aca="false">FALSE()</f>
        <v>0</v>
      </c>
      <c r="T34" s="17"/>
      <c r="U34" s="23"/>
      <c r="V34" s="23"/>
      <c r="W34" s="23"/>
      <c r="X34" s="23"/>
      <c r="Y34" s="23"/>
      <c r="Z34" s="17"/>
      <c r="AA34" s="17"/>
      <c r="AB34" s="17"/>
      <c r="AC34" s="17"/>
      <c r="AH34" s="27" t="str">
        <f aca="false">IF(AK34="จบงานแล้ว","จบงานแล้ว",IF(K34="","In Transit",IF(K34&lt;=J34,"On Time","Delayed")))</f>
        <v>In Transit</v>
      </c>
      <c r="AI34" s="26" t="str">
        <f aca="false">IFERROR(IF(AND(ISNUMBER(U34),ISNUMBER(X34)),X34-U34,""),"")</f>
        <v/>
      </c>
      <c r="AJ34" s="26" t="str">
        <f aca="false">IF(AND(J34&lt;&gt;"",K34&lt;&gt;""),MAX(0,K34-J34),"")</f>
        <v/>
      </c>
      <c r="AK34" s="27" t="str">
        <f aca="false">IF(OR(ISNUMBER(SEARCH("เคลียร์สินค้าและจัดส่งสินค้าแล้ว",Z34)),ISNUMBER(SEARCH("เคลียร์สินค้าเรียบร้อย",Z34)),ISNUMBER(SEARCH("เคลียร์สินค้าและจัดส่งแล้ว",Z34)),ISNUMBER(SEARCH("จัดส่งสินค้าแล้ว",Z34))), "จบงานแล้ว", "")</f>
        <v/>
      </c>
      <c r="AL34" s="28"/>
      <c r="AM34" s="29"/>
      <c r="AN34" s="30"/>
      <c r="AO34" s="29"/>
    </row>
    <row r="35" s="2" customFormat="true" ht="18.75" hidden="false" customHeight="true" outlineLevel="0" collapsed="false">
      <c r="A35" s="31" t="n">
        <f aca="false">ROW()-ROW($A$2)+1</f>
        <v>34</v>
      </c>
      <c r="B35" s="32"/>
      <c r="C35" s="32"/>
      <c r="D35" s="32"/>
      <c r="E35" s="32"/>
      <c r="F35" s="32"/>
      <c r="G35" s="32"/>
      <c r="H35" s="33"/>
      <c r="I35" s="34"/>
      <c r="J35" s="34"/>
      <c r="K35" s="31"/>
      <c r="L35" s="32"/>
      <c r="M35" s="32"/>
      <c r="N35" s="32"/>
      <c r="O35" s="35"/>
      <c r="P35" s="36"/>
      <c r="Q35" s="32"/>
      <c r="R35" s="32"/>
      <c r="S35" s="37" t="n">
        <f aca="false">FALSE()</f>
        <v>0</v>
      </c>
      <c r="T35" s="32"/>
      <c r="U35" s="38"/>
      <c r="V35" s="38"/>
      <c r="W35" s="38"/>
      <c r="X35" s="38"/>
      <c r="Y35" s="38"/>
      <c r="Z35" s="32"/>
      <c r="AA35" s="32"/>
      <c r="AB35" s="32"/>
      <c r="AC35" s="32"/>
      <c r="AH35" s="27" t="str">
        <f aca="false">IF(AK35="จบงานแล้ว","จบงานแล้ว",IF(K35="","In Transit",IF(K35&lt;=J35,"On Time","Delayed")))</f>
        <v>In Transit</v>
      </c>
      <c r="AI35" s="26" t="str">
        <f aca="false">IFERROR(IF(AND(ISNUMBER(U35),ISNUMBER(X35)),X35-U35,""),"")</f>
        <v/>
      </c>
      <c r="AJ35" s="26" t="str">
        <f aca="false">IF(AND(J35&lt;&gt;"",K35&lt;&gt;""),MAX(0,K35-J35),"")</f>
        <v/>
      </c>
      <c r="AK35" s="27" t="str">
        <f aca="false">IF(OR(ISNUMBER(SEARCH("เคลียร์สินค้าและจัดส่งสินค้าแล้ว",Z35)),ISNUMBER(SEARCH("เคลียร์สินค้าเรียบร้อย",Z35)),ISNUMBER(SEARCH("เคลียร์สินค้าและจัดส่งแล้ว",Z35)),ISNUMBER(SEARCH("จัดส่งสินค้าแล้ว",Z35))), "จบงานแล้ว", "")</f>
        <v/>
      </c>
      <c r="AL35" s="40"/>
      <c r="AM35" s="41"/>
      <c r="AN35" s="42"/>
      <c r="AO35" s="41"/>
    </row>
    <row r="36" customFormat="false" ht="18.75" hidden="false" customHeight="true" outlineLevel="0" collapsed="false">
      <c r="A36" s="16"/>
      <c r="B36" s="17"/>
      <c r="C36" s="17"/>
      <c r="D36" s="17"/>
      <c r="E36" s="17"/>
      <c r="F36" s="17"/>
      <c r="G36" s="17"/>
      <c r="H36" s="18"/>
      <c r="I36" s="19"/>
      <c r="J36" s="19"/>
      <c r="K36" s="16"/>
      <c r="L36" s="17"/>
      <c r="M36" s="17"/>
      <c r="N36" s="17"/>
      <c r="O36" s="20"/>
      <c r="P36" s="21"/>
      <c r="Q36" s="17"/>
      <c r="R36" s="17"/>
      <c r="S36" s="43" t="n">
        <f aca="false">FALSE()</f>
        <v>0</v>
      </c>
      <c r="T36" s="17"/>
      <c r="U36" s="23"/>
      <c r="V36" s="23"/>
      <c r="W36" s="23"/>
      <c r="X36" s="23"/>
      <c r="Y36" s="23"/>
      <c r="Z36" s="17"/>
      <c r="AA36" s="17"/>
      <c r="AB36" s="17"/>
      <c r="AC36" s="17"/>
      <c r="AH36" s="27" t="str">
        <f aca="false">IF(AK36="จบงานแล้ว","จบงานแล้ว",IF(K36="","In Transit",IF(K36&lt;=J36,"On Time","Delayed")))</f>
        <v>In Transit</v>
      </c>
      <c r="AI36" s="26" t="str">
        <f aca="false">IFERROR(IF(AND(ISNUMBER(U36),ISNUMBER(X36)),X36-U36,""),"")</f>
        <v/>
      </c>
      <c r="AJ36" s="26" t="str">
        <f aca="false">IF(AND(J36&lt;&gt;"",K36&lt;&gt;""),MAX(0,K36-J36),"")</f>
        <v/>
      </c>
      <c r="AK36" s="27" t="str">
        <f aca="false">IF(OR(ISNUMBER(SEARCH("เคลียร์สินค้าและจัดส่งสินค้าแล้ว",Z36)),ISNUMBER(SEARCH("เคลียร์สินค้าเรียบร้อย",Z36)),ISNUMBER(SEARCH("เคลียร์สินค้าและจัดส่งแล้ว",Z36)),ISNUMBER(SEARCH("จัดส่งสินค้าแล้ว",Z36))), "จบงานแล้ว", "")</f>
        <v/>
      </c>
      <c r="AL36" s="28"/>
      <c r="AM36" s="29"/>
      <c r="AN36" s="30"/>
      <c r="AO36" s="29"/>
    </row>
    <row r="37" customFormat="false" ht="15" hidden="false" customHeight="false" outlineLevel="0" collapsed="false">
      <c r="A37" s="31"/>
      <c r="B37" s="32"/>
      <c r="C37" s="32"/>
      <c r="D37" s="32"/>
      <c r="E37" s="32"/>
      <c r="F37" s="32"/>
      <c r="G37" s="32"/>
      <c r="H37" s="33"/>
      <c r="I37" s="34"/>
      <c r="J37" s="34"/>
      <c r="K37" s="31"/>
      <c r="L37" s="32"/>
      <c r="M37" s="32"/>
      <c r="N37" s="32"/>
      <c r="O37" s="35"/>
      <c r="P37" s="36"/>
      <c r="Q37" s="32"/>
      <c r="R37" s="32"/>
      <c r="S37" s="37"/>
      <c r="T37" s="32"/>
      <c r="U37" s="38"/>
      <c r="V37" s="38"/>
      <c r="W37" s="38"/>
      <c r="X37" s="38"/>
      <c r="Y37" s="38"/>
      <c r="Z37" s="32"/>
      <c r="AA37" s="32"/>
      <c r="AB37" s="32"/>
      <c r="AC37" s="32"/>
      <c r="AH37" s="27" t="str">
        <f aca="false">IF(AK37="จบงานแล้ว","จบงานแล้ว",IF(K37="","In Transit",IF(K37&lt;=J37,"On Time","Delayed")))</f>
        <v>In Transit</v>
      </c>
      <c r="AI37" s="26" t="str">
        <f aca="false">IFERROR(IF(AND(ISNUMBER(U37),ISNUMBER(X37)),X37-U37,""),"")</f>
        <v/>
      </c>
      <c r="AJ37" s="26" t="str">
        <f aca="false">IF(AND(J37&lt;&gt;"",K37&lt;&gt;""),MAX(0,K37-J37),"")</f>
        <v/>
      </c>
      <c r="AK37" s="27" t="str">
        <f aca="false">IF(OR(ISNUMBER(SEARCH("เคลียร์สินค้าและจัดส่งสินค้าแล้ว",Z37)),ISNUMBER(SEARCH("เคลียร์สินค้าเรียบร้อย",Z37)),ISNUMBER(SEARCH("เคลียร์สินค้าและจัดส่งแล้ว",Z37)),ISNUMBER(SEARCH("จัดส่งสินค้าแล้ว",Z37))), "จบงานแล้ว", "")</f>
        <v/>
      </c>
      <c r="AL37" s="40"/>
      <c r="AM37" s="41"/>
      <c r="AN37" s="42"/>
      <c r="AO37" s="41"/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7"/>
      <c r="G38" s="17"/>
      <c r="H38" s="18"/>
      <c r="I38" s="19"/>
      <c r="J38" s="19"/>
      <c r="K38" s="16"/>
      <c r="L38" s="17"/>
      <c r="M38" s="17"/>
      <c r="N38" s="17"/>
      <c r="O38" s="20"/>
      <c r="P38" s="21"/>
      <c r="Q38" s="17"/>
      <c r="R38" s="17"/>
      <c r="S38" s="43"/>
      <c r="T38" s="17"/>
      <c r="U38" s="23"/>
      <c r="V38" s="23"/>
      <c r="W38" s="23"/>
      <c r="X38" s="23"/>
      <c r="Y38" s="23"/>
      <c r="Z38" s="17"/>
      <c r="AA38" s="17"/>
      <c r="AB38" s="17"/>
      <c r="AC38" s="17"/>
      <c r="AH38" s="27" t="str">
        <f aca="false">IF(AK38="จบงานแล้ว","จบงานแล้ว",IF(K38="","In Transit",IF(K38&lt;=J38,"On Time","Delayed")))</f>
        <v>In Transit</v>
      </c>
      <c r="AI38" s="26" t="str">
        <f aca="false">IFERROR(IF(AND(ISNUMBER(U38),ISNUMBER(X38)),X38-U38,""),"")</f>
        <v/>
      </c>
      <c r="AJ38" s="26" t="str">
        <f aca="false">IF(AND(J38&lt;&gt;"",K38&lt;&gt;""),MAX(0,K38-J38),"")</f>
        <v/>
      </c>
      <c r="AK38" s="27" t="str">
        <f aca="false">IF(OR(ISNUMBER(SEARCH("เคลียร์สินค้าและจัดส่งสินค้าแล้ว",Z38)),ISNUMBER(SEARCH("เคลียร์สินค้าเรียบร้อย",Z38)),ISNUMBER(SEARCH("เคลียร์สินค้าและจัดส่งแล้ว",Z38)),ISNUMBER(SEARCH("จัดส่งสินค้าแล้ว",Z38))), "จบงานแล้ว", "")</f>
        <v/>
      </c>
      <c r="AL38" s="28"/>
      <c r="AM38" s="29"/>
      <c r="AN38" s="30"/>
      <c r="AO38" s="29"/>
    </row>
    <row r="39" customFormat="false" ht="15" hidden="false" customHeight="true" outlineLevel="0" collapsed="false">
      <c r="A39" s="31"/>
      <c r="B39" s="32"/>
      <c r="C39" s="32"/>
      <c r="D39" s="32"/>
      <c r="E39" s="32"/>
      <c r="F39" s="32"/>
      <c r="G39" s="32"/>
      <c r="H39" s="33"/>
      <c r="I39" s="34"/>
      <c r="J39" s="34"/>
      <c r="K39" s="31"/>
      <c r="L39" s="32"/>
      <c r="M39" s="32"/>
      <c r="N39" s="32"/>
      <c r="O39" s="35"/>
      <c r="P39" s="36"/>
      <c r="Q39" s="32"/>
      <c r="R39" s="32"/>
      <c r="S39" s="37"/>
      <c r="T39" s="32"/>
      <c r="U39" s="38"/>
      <c r="V39" s="38"/>
      <c r="W39" s="38"/>
      <c r="X39" s="38"/>
      <c r="Y39" s="38"/>
      <c r="Z39" s="32"/>
      <c r="AA39" s="32"/>
      <c r="AB39" s="32"/>
      <c r="AC39" s="32"/>
      <c r="AH39" s="27" t="str">
        <f aca="false">IF(AK39="จบงานแล้ว","จบงานแล้ว",IF(K39="","In Transit",IF(K39&lt;=J39,"On Time","Delayed")))</f>
        <v>In Transit</v>
      </c>
      <c r="AI39" s="26" t="str">
        <f aca="false">IFERROR(IF(AND(ISNUMBER(U39),ISNUMBER(X39)),X39-U39,""),"")</f>
        <v/>
      </c>
      <c r="AJ39" s="26" t="str">
        <f aca="false">IF(AND(J39&lt;&gt;"",K39&lt;&gt;""),MAX(0,K39-J39),"")</f>
        <v/>
      </c>
      <c r="AK39" s="27" t="str">
        <f aca="false">IF(OR(ISNUMBER(SEARCH("เคลียร์สินค้าและจัดส่งสินค้าแล้ว",Z39)),ISNUMBER(SEARCH("เคลียร์สินค้าเรียบร้อย",Z39)),ISNUMBER(SEARCH("เคลียร์สินค้าและจัดส่งแล้ว",Z39)),ISNUMBER(SEARCH("จัดส่งสินค้าแล้ว",Z39))), "จบงานแล้ว", "")</f>
        <v/>
      </c>
      <c r="AL39" s="40"/>
      <c r="AM39" s="41"/>
      <c r="AN39" s="42"/>
      <c r="AO39" s="41"/>
    </row>
    <row r="40" customFormat="false" ht="15" hidden="false" customHeight="false" outlineLevel="0" collapsed="false">
      <c r="A40" s="16"/>
      <c r="B40" s="17"/>
      <c r="C40" s="17"/>
      <c r="D40" s="17"/>
      <c r="E40" s="17"/>
      <c r="F40" s="17"/>
      <c r="G40" s="17"/>
      <c r="H40" s="18"/>
      <c r="I40" s="19"/>
      <c r="J40" s="19"/>
      <c r="K40" s="16"/>
      <c r="L40" s="17"/>
      <c r="M40" s="17"/>
      <c r="N40" s="17"/>
      <c r="O40" s="20"/>
      <c r="P40" s="21"/>
      <c r="Q40" s="17"/>
      <c r="R40" s="17"/>
      <c r="S40" s="43"/>
      <c r="T40" s="17"/>
      <c r="U40" s="23"/>
      <c r="V40" s="23"/>
      <c r="W40" s="23"/>
      <c r="X40" s="23"/>
      <c r="Y40" s="23"/>
      <c r="Z40" s="17"/>
      <c r="AA40" s="17"/>
      <c r="AB40" s="17"/>
      <c r="AC40" s="17"/>
      <c r="AH40" s="27" t="str">
        <f aca="false">IF(AK40="จบงานแล้ว","จบงานแล้ว",IF(K40="","In Transit",IF(K40&lt;=J40,"On Time","Delayed")))</f>
        <v>In Transit</v>
      </c>
      <c r="AI40" s="26" t="str">
        <f aca="false">IFERROR(IF(AND(ISNUMBER(U40),ISNUMBER(X40)),X40-U40,""),"")</f>
        <v/>
      </c>
      <c r="AJ40" s="26" t="str">
        <f aca="false">IF(AND(J40&lt;&gt;"",K40&lt;&gt;""),MAX(0,K40-J40),"")</f>
        <v/>
      </c>
      <c r="AK40" s="27" t="str">
        <f aca="false">IF(OR(ISNUMBER(SEARCH("เคลียร์สินค้าและจัดส่งสินค้าแล้ว",Z40)),ISNUMBER(SEARCH("เคลียร์สินค้าเรียบร้อย",Z40)),ISNUMBER(SEARCH("เคลียร์สินค้าและจัดส่งแล้ว",Z40)),ISNUMBER(SEARCH("จัดส่งสินค้าแล้ว",Z40))), "จบงานแล้ว", "")</f>
        <v/>
      </c>
      <c r="AL40" s="28"/>
      <c r="AM40" s="29"/>
      <c r="AN40" s="30"/>
      <c r="AO40" s="29"/>
    </row>
    <row r="41" customFormat="false" ht="15" hidden="false" customHeight="true" outlineLevel="0" collapsed="false">
      <c r="A41" s="31"/>
      <c r="B41" s="32"/>
      <c r="C41" s="32"/>
      <c r="D41" s="32"/>
      <c r="E41" s="32"/>
      <c r="F41" s="32"/>
      <c r="G41" s="32"/>
      <c r="H41" s="33"/>
      <c r="I41" s="34"/>
      <c r="J41" s="34"/>
      <c r="K41" s="31"/>
      <c r="L41" s="32"/>
      <c r="M41" s="32"/>
      <c r="N41" s="32"/>
      <c r="O41" s="35"/>
      <c r="P41" s="36"/>
      <c r="Q41" s="32"/>
      <c r="R41" s="32"/>
      <c r="S41" s="37"/>
      <c r="T41" s="32"/>
      <c r="U41" s="38"/>
      <c r="V41" s="38"/>
      <c r="W41" s="38"/>
      <c r="X41" s="38"/>
      <c r="Y41" s="38"/>
      <c r="Z41" s="32"/>
      <c r="AA41" s="32"/>
      <c r="AB41" s="32"/>
      <c r="AC41" s="32"/>
      <c r="AH41" s="27" t="str">
        <f aca="false">IF(AK41="จบงานแล้ว","จบงานแล้ว",IF(K41="","In Transit",IF(K41&lt;=J41,"On Time","Delayed")))</f>
        <v>In Transit</v>
      </c>
      <c r="AI41" s="26" t="str">
        <f aca="false">IFERROR(IF(AND(ISNUMBER(U41),ISNUMBER(X41)),X41-U41,""),"")</f>
        <v/>
      </c>
      <c r="AJ41" s="26" t="str">
        <f aca="false">IF(AND(J41&lt;&gt;"",K41&lt;&gt;""),MAX(0,K41-J41),"")</f>
        <v/>
      </c>
      <c r="AK41" s="27" t="str">
        <f aca="false">IF(OR(ISNUMBER(SEARCH("เคลียร์สินค้าและจัดส่งสินค้าแล้ว",Z41)),ISNUMBER(SEARCH("เคลียร์สินค้าเรียบร้อย",Z41)),ISNUMBER(SEARCH("เคลียร์สินค้าและจัดส่งแล้ว",Z41)),ISNUMBER(SEARCH("จัดส่งสินค้าแล้ว",Z41))), "จบงานแล้ว", "")</f>
        <v/>
      </c>
      <c r="AL41" s="40"/>
      <c r="AM41" s="41"/>
      <c r="AN41" s="42"/>
      <c r="AO41" s="41"/>
    </row>
    <row r="42" customFormat="false" ht="15" hidden="false" customHeight="true" outlineLevel="0" collapsed="false">
      <c r="A42" s="16"/>
      <c r="B42" s="17"/>
      <c r="C42" s="17"/>
      <c r="D42" s="17"/>
      <c r="E42" s="17"/>
      <c r="F42" s="17"/>
      <c r="G42" s="17"/>
      <c r="H42" s="18"/>
      <c r="I42" s="19"/>
      <c r="J42" s="19"/>
      <c r="K42" s="16"/>
      <c r="L42" s="17"/>
      <c r="M42" s="17"/>
      <c r="N42" s="17"/>
      <c r="O42" s="20"/>
      <c r="P42" s="21"/>
      <c r="Q42" s="17"/>
      <c r="R42" s="17"/>
      <c r="S42" s="43"/>
      <c r="T42" s="17"/>
      <c r="U42" s="23"/>
      <c r="V42" s="23"/>
      <c r="W42" s="23"/>
      <c r="X42" s="23"/>
      <c r="Y42" s="23"/>
      <c r="Z42" s="17"/>
      <c r="AA42" s="17"/>
      <c r="AB42" s="17"/>
      <c r="AC42" s="17"/>
      <c r="AH42" s="27" t="str">
        <f aca="false">IF(AK42="จบงานแล้ว","จบงานแล้ว",IF(K42="","In Transit",IF(K42&lt;=J42,"On Time","Delayed")))</f>
        <v>In Transit</v>
      </c>
      <c r="AI42" s="26" t="str">
        <f aca="false">IFERROR(IF(AND(ISNUMBER(U42),ISNUMBER(X42)),X42-U42,""),"")</f>
        <v/>
      </c>
      <c r="AJ42" s="26" t="str">
        <f aca="false">IF(AND(J42&lt;&gt;"",K42&lt;&gt;""),MAX(0,K42-J42),"")</f>
        <v/>
      </c>
      <c r="AK42" s="27" t="str">
        <f aca="false">IF(OR(ISNUMBER(SEARCH("เคลียร์สินค้าและจัดส่งสินค้าแล้ว",Z42)),ISNUMBER(SEARCH("เคลียร์สินค้าเรียบร้อย",Z42)),ISNUMBER(SEARCH("เคลียร์สินค้าและจัดส่งแล้ว",Z42)),ISNUMBER(SEARCH("จัดส่งสินค้าแล้ว",Z42))), "จบงานแล้ว", "")</f>
        <v/>
      </c>
      <c r="AL42" s="28"/>
      <c r="AM42" s="29"/>
      <c r="AN42" s="30"/>
      <c r="AO42" s="29"/>
    </row>
    <row r="43" customFormat="false" ht="15" hidden="false" customHeight="true" outlineLevel="0" collapsed="false">
      <c r="A43" s="45"/>
      <c r="B43" s="46"/>
      <c r="C43" s="47"/>
      <c r="D43" s="46"/>
      <c r="E43" s="46"/>
      <c r="F43" s="46"/>
      <c r="G43" s="46"/>
      <c r="H43" s="48"/>
      <c r="I43" s="48"/>
      <c r="J43" s="48"/>
      <c r="K43" s="46"/>
      <c r="L43" s="46"/>
      <c r="M43" s="49"/>
      <c r="N43" s="49"/>
      <c r="O43" s="50"/>
      <c r="P43" s="51"/>
      <c r="Q43" s="46"/>
      <c r="R43" s="52"/>
      <c r="S43" s="49"/>
      <c r="T43" s="49"/>
      <c r="U43" s="53"/>
      <c r="V43" s="53"/>
      <c r="W43" s="53"/>
      <c r="X43" s="53"/>
      <c r="Y43" s="53"/>
      <c r="Z43" s="49"/>
      <c r="AA43" s="54"/>
      <c r="AB43" s="54"/>
      <c r="AC43" s="55"/>
      <c r="AH43" s="54"/>
    </row>
    <row r="44" customFormat="false" ht="21.75" hidden="false" customHeight="true" outlineLevel="0" collapsed="false">
      <c r="A44" s="56"/>
      <c r="B44" s="56"/>
      <c r="C44" s="56"/>
      <c r="D44" s="56"/>
      <c r="E44" s="56"/>
      <c r="F44" s="56"/>
      <c r="G44" s="56"/>
      <c r="H44" s="56"/>
      <c r="I44" s="57"/>
      <c r="J44" s="57"/>
      <c r="K44" s="54"/>
      <c r="L44" s="54"/>
      <c r="M44" s="55"/>
      <c r="N44" s="54"/>
      <c r="O44" s="58"/>
      <c r="P44" s="59"/>
      <c r="Q44" s="54"/>
      <c r="R44" s="54"/>
      <c r="S44" s="54"/>
      <c r="T44" s="54"/>
      <c r="U44" s="60"/>
      <c r="V44" s="60"/>
      <c r="W44" s="60"/>
      <c r="X44" s="60"/>
      <c r="Y44" s="60"/>
      <c r="Z44" s="54"/>
      <c r="AA44" s="54"/>
      <c r="AB44" s="54"/>
      <c r="AC44" s="55"/>
      <c r="AH44" s="54"/>
    </row>
    <row r="45" customFormat="false" ht="19.5" hidden="false" customHeight="true" outlineLevel="0" collapsed="false">
      <c r="A45" s="61"/>
      <c r="B45" s="61"/>
      <c r="C45" s="62" t="n">
        <f aca="false">COUNTA(B2:B42)</f>
        <v>0</v>
      </c>
      <c r="D45" s="54"/>
      <c r="E45" s="54"/>
      <c r="F45" s="54"/>
      <c r="G45" s="54"/>
      <c r="H45" s="57"/>
      <c r="I45" s="57"/>
      <c r="J45" s="57"/>
      <c r="K45" s="54"/>
      <c r="L45" s="54"/>
      <c r="M45" s="55"/>
      <c r="N45" s="54"/>
      <c r="O45" s="58"/>
      <c r="P45" s="59"/>
      <c r="Q45" s="54"/>
      <c r="R45" s="54"/>
      <c r="S45" s="54"/>
      <c r="T45" s="54"/>
      <c r="U45" s="60"/>
      <c r="V45" s="60"/>
      <c r="W45" s="60"/>
      <c r="X45" s="60"/>
      <c r="Y45" s="60"/>
      <c r="Z45" s="54"/>
      <c r="AA45" s="54"/>
      <c r="AB45" s="54"/>
      <c r="AC45" s="55"/>
      <c r="AH45" s="54"/>
    </row>
    <row r="46" customFormat="false" ht="19.5" hidden="false" customHeight="true" outlineLevel="0" collapsed="false">
      <c r="A46" s="63"/>
      <c r="B46" s="63"/>
      <c r="C46" s="62" t="n">
        <f aca="false">COUNTIF(AH2:AH42,"On Time")</f>
        <v>0</v>
      </c>
      <c r="D46" s="54"/>
      <c r="E46" s="54"/>
      <c r="F46" s="54"/>
      <c r="G46" s="54"/>
      <c r="H46" s="57"/>
      <c r="I46" s="57"/>
      <c r="J46" s="57"/>
      <c r="K46" s="54"/>
      <c r="L46" s="54"/>
      <c r="M46" s="55"/>
      <c r="N46" s="54"/>
      <c r="O46" s="58"/>
      <c r="P46" s="59"/>
      <c r="Q46" s="54"/>
      <c r="R46" s="54"/>
      <c r="S46" s="54"/>
      <c r="T46" s="54"/>
      <c r="U46" s="60"/>
      <c r="V46" s="60"/>
      <c r="W46" s="60"/>
      <c r="X46" s="60"/>
      <c r="Y46" s="60"/>
      <c r="Z46" s="54"/>
      <c r="AA46" s="54"/>
      <c r="AB46" s="54"/>
      <c r="AC46" s="55"/>
      <c r="AH46" s="54"/>
    </row>
    <row r="47" customFormat="false" ht="19.5" hidden="false" customHeight="true" outlineLevel="0" collapsed="false">
      <c r="A47" s="64"/>
      <c r="B47" s="64"/>
      <c r="C47" s="62" t="n">
        <f aca="false">COUNTIF(AH2:AH42,"Delayed")</f>
        <v>0</v>
      </c>
      <c r="D47" s="54"/>
      <c r="E47" s="54"/>
      <c r="F47" s="54"/>
      <c r="G47" s="54"/>
      <c r="H47" s="57"/>
      <c r="I47" s="57"/>
      <c r="J47" s="57"/>
      <c r="K47" s="54"/>
      <c r="L47" s="54"/>
      <c r="M47" s="55"/>
      <c r="N47" s="54"/>
      <c r="O47" s="58"/>
      <c r="P47" s="59"/>
      <c r="Q47" s="54"/>
      <c r="R47" s="54"/>
      <c r="S47" s="54"/>
      <c r="T47" s="54"/>
      <c r="U47" s="60"/>
      <c r="V47" s="60"/>
      <c r="W47" s="60"/>
      <c r="X47" s="60"/>
      <c r="Y47" s="60"/>
      <c r="Z47" s="54"/>
      <c r="AA47" s="54"/>
      <c r="AB47" s="54"/>
      <c r="AC47" s="55"/>
      <c r="AH47" s="54"/>
    </row>
    <row r="48" customFormat="false" ht="19.5" hidden="false" customHeight="true" outlineLevel="0" collapsed="false">
      <c r="A48" s="65"/>
      <c r="B48" s="65"/>
      <c r="C48" s="62" t="n">
        <f aca="false">COUNTIF(AH2:AH42,"In Transit")</f>
        <v>41</v>
      </c>
      <c r="D48" s="54"/>
      <c r="E48" s="54"/>
      <c r="F48" s="54"/>
      <c r="G48" s="54"/>
      <c r="H48" s="57"/>
      <c r="I48" s="57"/>
      <c r="J48" s="57"/>
      <c r="K48" s="54"/>
      <c r="L48" s="54"/>
      <c r="M48" s="55"/>
      <c r="N48" s="54"/>
      <c r="O48" s="58"/>
      <c r="P48" s="59"/>
      <c r="Q48" s="54"/>
      <c r="R48" s="54"/>
      <c r="S48" s="54"/>
      <c r="T48" s="54"/>
      <c r="U48" s="60"/>
      <c r="V48" s="60"/>
      <c r="W48" s="60"/>
      <c r="X48" s="60"/>
      <c r="Y48" s="60"/>
      <c r="Z48" s="54"/>
      <c r="AA48" s="54"/>
      <c r="AB48" s="54"/>
      <c r="AC48" s="55"/>
      <c r="AH48" s="54"/>
    </row>
    <row r="49" customFormat="false" ht="19.5" hidden="false" customHeight="true" outlineLevel="0" collapsed="false">
      <c r="A49" s="66"/>
      <c r="B49" s="66"/>
      <c r="C49" s="62" t="n">
        <f aca="false">COUNTIF(AH2:AH42,"จบงานแล้ว")</f>
        <v>0</v>
      </c>
      <c r="D49" s="54"/>
      <c r="E49" s="54"/>
      <c r="F49" s="54"/>
      <c r="G49" s="54"/>
      <c r="H49" s="57"/>
      <c r="I49" s="57"/>
      <c r="J49" s="57"/>
      <c r="K49" s="54"/>
      <c r="L49" s="54"/>
      <c r="M49" s="55"/>
      <c r="N49" s="54"/>
      <c r="O49" s="58"/>
      <c r="P49" s="59"/>
      <c r="Q49" s="54"/>
      <c r="R49" s="54"/>
      <c r="S49" s="54"/>
      <c r="T49" s="54"/>
      <c r="U49" s="60"/>
      <c r="V49" s="60"/>
      <c r="W49" s="60"/>
      <c r="X49" s="60"/>
      <c r="Y49" s="60"/>
      <c r="Z49" s="54"/>
      <c r="AA49" s="54"/>
      <c r="AB49" s="54"/>
      <c r="AC49" s="55"/>
      <c r="AH49" s="54"/>
    </row>
    <row r="50" customFormat="false" ht="19.5" hidden="false" customHeight="true" outlineLevel="0" collapsed="false">
      <c r="A50" s="61"/>
      <c r="B50" s="61"/>
      <c r="C50" s="67" t="n">
        <f aca="false">IFERROR(COUNTIF(AH2:AH42,"On Time")/COUNTA(AH2:AH42),"N/A")</f>
        <v>0</v>
      </c>
      <c r="D50" s="54"/>
      <c r="E50" s="54"/>
      <c r="F50" s="54"/>
      <c r="G50" s="54"/>
      <c r="H50" s="57"/>
      <c r="I50" s="57"/>
      <c r="J50" s="57"/>
      <c r="K50" s="54"/>
      <c r="L50" s="54"/>
      <c r="M50" s="55"/>
      <c r="N50" s="54"/>
      <c r="O50" s="58"/>
      <c r="P50" s="59"/>
      <c r="Q50" s="54"/>
      <c r="R50" s="54"/>
      <c r="S50" s="54"/>
      <c r="T50" s="54"/>
      <c r="U50" s="60"/>
      <c r="V50" s="60"/>
      <c r="W50" s="60"/>
      <c r="X50" s="60"/>
      <c r="Y50" s="60"/>
      <c r="Z50" s="54"/>
      <c r="AA50" s="54"/>
      <c r="AB50" s="54"/>
      <c r="AC50" s="55"/>
      <c r="AH50" s="54"/>
    </row>
    <row r="51" customFormat="false" ht="19.5" hidden="false" customHeight="true" outlineLevel="0" collapsed="false">
      <c r="A51" s="61"/>
      <c r="B51" s="61"/>
      <c r="C51" s="68" t="str">
        <f aca="false">IFERROR(AVERAGEIF(AI2:AI42,"&lt;&gt;"&amp;"",AI2:AI42),"N/A")</f>
        <v>N/A</v>
      </c>
      <c r="D51" s="54"/>
      <c r="E51" s="54"/>
      <c r="F51" s="54"/>
      <c r="G51" s="54"/>
      <c r="H51" s="57"/>
      <c r="I51" s="57"/>
      <c r="J51" s="57"/>
      <c r="K51" s="54"/>
      <c r="L51" s="54"/>
      <c r="M51" s="55"/>
      <c r="N51" s="54"/>
      <c r="O51" s="58"/>
      <c r="P51" s="59"/>
      <c r="Q51" s="54"/>
      <c r="R51" s="54"/>
      <c r="S51" s="54"/>
      <c r="T51" s="54"/>
      <c r="U51" s="60"/>
      <c r="V51" s="60"/>
      <c r="W51" s="60"/>
      <c r="X51" s="60"/>
      <c r="Y51" s="60"/>
      <c r="Z51" s="54"/>
      <c r="AA51" s="54"/>
      <c r="AB51" s="54"/>
      <c r="AC51" s="55"/>
      <c r="AH51" s="54"/>
    </row>
    <row r="52" customFormat="false" ht="19.5" hidden="false" customHeight="true" outlineLevel="0" collapsed="false">
      <c r="A52" s="61"/>
      <c r="B52" s="61"/>
      <c r="C52" s="68" t="str">
        <f aca="false">IFERROR(AVERAGEIF(AJ2:AJ42,"&gt;"&amp;0,AJ2:AJ42),"N/A")</f>
        <v>N/A</v>
      </c>
    </row>
    <row r="53" customFormat="false" ht="19.5" hidden="false" customHeight="true" outlineLevel="0" collapsed="false">
      <c r="A53" s="69"/>
      <c r="B53" s="69"/>
      <c r="C53" s="62" t="n">
        <f aca="false">IFERROR(COUNTA(AO2:AO42),0)</f>
        <v>0</v>
      </c>
    </row>
    <row r="54" customFormat="false" ht="19.5" hidden="false" customHeight="true" outlineLevel="0" collapsed="false">
      <c r="A54" s="63"/>
      <c r="B54" s="63"/>
      <c r="C54" s="62" t="n">
        <f aca="false">COUNTIF(AO2:AO42,"Paid")</f>
        <v>0</v>
      </c>
    </row>
    <row r="55" customFormat="false" ht="19.5" hidden="false" customHeight="true" outlineLevel="0" collapsed="false">
      <c r="A55" s="64"/>
      <c r="B55" s="64"/>
      <c r="C55" s="62" t="n">
        <f aca="false">COUNTIF(AO2:AO42,"Unpaid")+COUNTIF(AO2:AO42,"Pending")</f>
        <v>0</v>
      </c>
    </row>
    <row r="56" customFormat="false" ht="19.5" hidden="false" customHeight="true" outlineLevel="0" collapsed="false">
      <c r="A56" s="69"/>
      <c r="B56" s="69"/>
      <c r="C56" s="70" t="n">
        <f aca="false">IFERROR(SUM(AN2:AN42),0)</f>
        <v>0</v>
      </c>
    </row>
    <row r="57" customFormat="false" ht="19.5" hidden="false" customHeight="true" outlineLevel="0" collapsed="false">
      <c r="A57" s="63"/>
      <c r="B57" s="63"/>
      <c r="C57" s="70" t="n">
        <f aca="false">IFERROR(SUMIF(AO2:AO42,"Paid",AN2:AN42),0)</f>
        <v>0</v>
      </c>
    </row>
    <row r="58" customFormat="false" ht="19.5" hidden="false" customHeight="true" outlineLevel="0" collapsed="false">
      <c r="A58" s="64"/>
      <c r="B58" s="64"/>
      <c r="C58" s="70" t="n">
        <f aca="false">IFERROR(SUMIF(AO2:AO42,"Unpaid",AN2:AN42)+SUMIF(AO2:AO42,"Pending",AN2:AN42),0)</f>
        <v>0</v>
      </c>
    </row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</sheetData>
  <mergeCells count="15">
    <mergeCell ref="A44:H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F752"/>
    <pageSetUpPr fitToPage="false"/>
  </sheetPr>
  <dimension ref="A2:A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1" width="6.29"/>
    <col collapsed="false" customWidth="true" hidden="false" outlineLevel="0" max="2" min="2" style="71" width="16"/>
    <col collapsed="false" customWidth="true" hidden="false" outlineLevel="0" max="3" min="3" style="71" width="38.71"/>
    <col collapsed="false" customWidth="true" hidden="false" outlineLevel="0" max="4" min="4" style="71" width="9.71"/>
    <col collapsed="false" customWidth="true" hidden="false" outlineLevel="0" max="5" min="5" style="71" width="9.14"/>
    <col collapsed="false" customWidth="true" hidden="false" outlineLevel="0" max="6" min="6" style="71" width="11.29"/>
    <col collapsed="false" customWidth="true" hidden="false" outlineLevel="0" max="7" min="7" style="71" width="22.57"/>
    <col collapsed="false" customWidth="true" hidden="false" outlineLevel="0" max="8" min="8" style="72" width="13.15"/>
    <col collapsed="false" customWidth="true" hidden="false" outlineLevel="0" max="9" min="9" style="72" width="12.42"/>
    <col collapsed="false" customWidth="true" hidden="false" outlineLevel="0" max="10" min="10" style="72" width="11.85"/>
    <col collapsed="false" customWidth="true" hidden="false" outlineLevel="0" max="11" min="11" style="71" width="10.42"/>
    <col collapsed="false" customWidth="true" hidden="false" outlineLevel="0" max="12" min="12" style="71" width="12.29"/>
    <col collapsed="false" customWidth="true" hidden="false" outlineLevel="0" max="13" min="13" style="71" width="13.15"/>
    <col collapsed="false" customWidth="true" hidden="false" outlineLevel="0" max="14" min="14" style="71" width="18"/>
    <col collapsed="false" customWidth="true" hidden="false" outlineLevel="0" max="15" min="15" style="71" width="52.86"/>
    <col collapsed="false" customWidth="true" hidden="false" outlineLevel="0" max="16" min="16" style="71" width="19.42"/>
    <col collapsed="false" customWidth="true" hidden="false" outlineLevel="0" max="17" min="17" style="71" width="15.85"/>
    <col collapsed="false" customWidth="true" hidden="false" outlineLevel="0" max="18" min="18" style="73" width="15.85"/>
    <col collapsed="false" customWidth="true" hidden="false" outlineLevel="0" max="19" min="19" style="73" width="12.15"/>
    <col collapsed="false" customWidth="true" hidden="false" outlineLevel="0" max="20" min="20" style="73" width="12.71"/>
    <col collapsed="false" customWidth="true" hidden="false" outlineLevel="0" max="21" min="21" style="73" width="13.71"/>
    <col collapsed="false" customWidth="true" hidden="false" outlineLevel="0" max="22" min="22" style="73" width="13.29"/>
    <col collapsed="false" customWidth="true" hidden="false" outlineLevel="0" max="23" min="23" style="71" width="24"/>
    <col collapsed="false" customWidth="true" hidden="false" outlineLevel="0" max="25" min="24" style="71" width="9.14"/>
    <col collapsed="false" customWidth="true" hidden="false" outlineLevel="0" max="29" min="26" style="0" width="13"/>
    <col collapsed="false" customWidth="true" hidden="false" outlineLevel="0" max="33" min="30" style="0" width="14"/>
  </cols>
  <sheetData>
    <row r="2" s="80" customFormat="true" ht="33.75" hidden="false" customHeight="true" outlineLevel="0" collapsed="false">
      <c r="A2" s="74" t="s">
        <v>0</v>
      </c>
      <c r="B2" s="74" t="s">
        <v>1</v>
      </c>
      <c r="C2" s="74" t="s">
        <v>2</v>
      </c>
      <c r="D2" s="74" t="s">
        <v>3</v>
      </c>
      <c r="E2" s="74" t="s">
        <v>4</v>
      </c>
      <c r="F2" s="74" t="s">
        <v>5</v>
      </c>
      <c r="G2" s="74" t="s">
        <v>6</v>
      </c>
      <c r="H2" s="75" t="s">
        <v>7</v>
      </c>
      <c r="I2" s="75" t="s">
        <v>8</v>
      </c>
      <c r="J2" s="75" t="s">
        <v>9</v>
      </c>
      <c r="K2" s="74" t="s">
        <v>13</v>
      </c>
      <c r="L2" s="76" t="s">
        <v>14</v>
      </c>
      <c r="M2" s="74" t="s">
        <v>15</v>
      </c>
      <c r="N2" s="74" t="s">
        <v>16</v>
      </c>
      <c r="O2" s="74" t="s">
        <v>17</v>
      </c>
      <c r="P2" s="74" t="s">
        <v>18</v>
      </c>
      <c r="Q2" s="74" t="s">
        <v>19</v>
      </c>
      <c r="R2" s="77" t="s">
        <v>20</v>
      </c>
      <c r="S2" s="77" t="s">
        <v>21</v>
      </c>
      <c r="T2" s="77" t="s">
        <v>22</v>
      </c>
      <c r="U2" s="77" t="s">
        <v>23</v>
      </c>
      <c r="V2" s="77" t="s">
        <v>24</v>
      </c>
      <c r="W2" s="74" t="s">
        <v>25</v>
      </c>
      <c r="X2" s="74" t="s">
        <v>26</v>
      </c>
      <c r="Y2" s="74" t="s">
        <v>27</v>
      </c>
      <c r="Z2" s="78" t="s">
        <v>29</v>
      </c>
      <c r="AA2" s="78" t="s">
        <v>30</v>
      </c>
      <c r="AB2" s="78" t="s">
        <v>31</v>
      </c>
      <c r="AC2" s="14" t="s">
        <v>32</v>
      </c>
      <c r="AD2" s="15" t="s">
        <v>33</v>
      </c>
      <c r="AE2" s="15" t="s">
        <v>34</v>
      </c>
      <c r="AF2" s="15" t="s">
        <v>35</v>
      </c>
      <c r="AG2" s="15" t="s">
        <v>36</v>
      </c>
      <c r="AH2" s="79"/>
      <c r="AI2" s="79"/>
      <c r="AJ2" s="79"/>
      <c r="AK2" s="79"/>
      <c r="AL2" s="79"/>
      <c r="AM2" s="79"/>
      <c r="AN2" s="79"/>
      <c r="AO2" s="79"/>
      <c r="AP2" s="79"/>
    </row>
    <row r="3" s="83" customFormat="true" ht="15" hidden="false" customHeight="false" outlineLevel="0" collapsed="false">
      <c r="A3" s="31"/>
      <c r="B3" s="32"/>
      <c r="C3" s="32"/>
      <c r="D3" s="32"/>
      <c r="E3" s="32"/>
      <c r="F3" s="32"/>
      <c r="G3" s="32"/>
      <c r="H3" s="81"/>
      <c r="I3" s="38"/>
      <c r="J3" s="38"/>
      <c r="K3" s="32"/>
      <c r="L3" s="32"/>
      <c r="M3" s="32"/>
      <c r="N3" s="32"/>
      <c r="O3" s="32"/>
      <c r="P3" s="37"/>
      <c r="Q3" s="32"/>
      <c r="R3" s="34"/>
      <c r="S3" s="34"/>
      <c r="T3" s="34"/>
      <c r="U3" s="34"/>
      <c r="V3" s="34"/>
      <c r="W3" s="32"/>
      <c r="X3" s="32"/>
      <c r="Y3" s="32"/>
      <c r="Z3" s="27" t="str">
        <f aca="false">IF(AC3="จบงานแล้ว","จบงานแล้ว",IF(J3="","In Transit",IF(J3&lt;=I3,"On Time","Delayed")))</f>
        <v>In Transit</v>
      </c>
      <c r="AA3" s="26" t="str">
        <f aca="false">IFERROR(IF(AND(ISNUMBER(R3),ISNUMBER(U3)),U3-R3,""),"")</f>
        <v/>
      </c>
      <c r="AB3" s="26" t="str">
        <f aca="false">IF(AND(I3&lt;&gt;"",J3&lt;&gt;""),MAX(0,J3-I3),"")</f>
        <v/>
      </c>
      <c r="AC3" s="27" t="str">
        <f aca="false">IF(OR(ISNUMBER(SEARCH("เคลียร์สินค้าและจัดส่งสินค้าแล้ว",W3)),ISNUMBER(SEARCH("เคลียร์สินค้าเรียบร้อย",W3)),ISNUMBER(SEARCH("เคลียร์สินค้าและจัดส่งแล้ว",W3)),ISNUMBER(SEARCH("จัดส่งสินค้าแล้ว",W3))), "จบงานแล้ว", "")</f>
        <v/>
      </c>
      <c r="AD3" s="40"/>
      <c r="AE3" s="41"/>
      <c r="AF3" s="42"/>
      <c r="AG3" s="41"/>
      <c r="AH3" s="82"/>
      <c r="AI3" s="82"/>
      <c r="AJ3" s="82"/>
    </row>
    <row r="4" s="45" customFormat="true" ht="15" hidden="false" customHeight="false" outlineLevel="0" collapsed="false">
      <c r="A4" s="84"/>
      <c r="B4" s="85"/>
      <c r="C4" s="85"/>
      <c r="D4" s="85"/>
      <c r="E4" s="85"/>
      <c r="F4" s="85"/>
      <c r="G4" s="85"/>
      <c r="H4" s="86"/>
      <c r="I4" s="87"/>
      <c r="J4" s="87"/>
      <c r="K4" s="85"/>
      <c r="L4" s="85"/>
      <c r="M4" s="85"/>
      <c r="N4" s="85"/>
      <c r="O4" s="85"/>
      <c r="P4" s="88"/>
      <c r="Q4" s="85"/>
      <c r="R4" s="89"/>
      <c r="S4" s="89"/>
      <c r="T4" s="89"/>
      <c r="U4" s="89"/>
      <c r="V4" s="89"/>
      <c r="W4" s="85"/>
      <c r="X4" s="85"/>
      <c r="Y4" s="85"/>
      <c r="Z4" s="27" t="str">
        <f aca="false">IF(AC4="จบงานแล้ว","จบงานแล้ว",IF(J4="","In Transit",IF(J4&lt;=I4,"On Time","Delayed")))</f>
        <v>In Transit</v>
      </c>
      <c r="AA4" s="26" t="str">
        <f aca="false">IFERROR(IF(AND(ISNUMBER(R4),ISNUMBER(U4)),U4-R4,""),"")</f>
        <v/>
      </c>
      <c r="AB4" s="26" t="str">
        <f aca="false">IF(AND(I4&lt;&gt;"",J4&lt;&gt;""),MAX(0,J4-I4),"")</f>
        <v/>
      </c>
      <c r="AC4" s="27" t="str">
        <f aca="false">IF(OR(ISNUMBER(SEARCH("เคลียร์สินค้าและจัดส่งสินค้าแล้ว",W4)),ISNUMBER(SEARCH("เคลียร์สินค้าเรียบร้อย",W4)),ISNUMBER(SEARCH("เคลียร์สินค้าและจัดส่งแล้ว",W4)),ISNUMBER(SEARCH("จัดส่งสินค้าแล้ว",W4))), "จบงานแล้ว", "")</f>
        <v/>
      </c>
      <c r="AD4" s="28"/>
      <c r="AE4" s="29"/>
      <c r="AF4" s="30"/>
      <c r="AG4" s="29"/>
      <c r="AH4" s="91"/>
      <c r="AI4" s="91"/>
      <c r="AJ4" s="91"/>
      <c r="AK4" s="92"/>
    </row>
    <row r="5" s="45" customFormat="true" ht="15" hidden="false" customHeight="false" outlineLevel="0" collapsed="false">
      <c r="A5" s="31"/>
      <c r="B5" s="32"/>
      <c r="C5" s="32"/>
      <c r="D5" s="32"/>
      <c r="E5" s="32"/>
      <c r="F5" s="32"/>
      <c r="G5" s="32"/>
      <c r="H5" s="81"/>
      <c r="I5" s="38"/>
      <c r="J5" s="38"/>
      <c r="K5" s="32"/>
      <c r="L5" s="32"/>
      <c r="M5" s="32"/>
      <c r="N5" s="32"/>
      <c r="O5" s="32"/>
      <c r="P5" s="37"/>
      <c r="Q5" s="32"/>
      <c r="R5" s="34"/>
      <c r="S5" s="34"/>
      <c r="T5" s="34"/>
      <c r="U5" s="34"/>
      <c r="V5" s="34"/>
      <c r="W5" s="32"/>
      <c r="X5" s="32"/>
      <c r="Y5" s="32"/>
      <c r="Z5" s="93" t="str">
        <f aca="false">IF(AC5="จบงานแล้ว","จบงานแล้ว",IF(J5="","In Transit",IF(J5&lt;=I5,"On Time","Delayed")))</f>
        <v>In Transit</v>
      </c>
      <c r="AA5" s="94" t="str">
        <f aca="false">IFERROR(IF(AND(ISNUMBER(R5),ISNUMBER(U5)),U5-R5,""),"")</f>
        <v/>
      </c>
      <c r="AB5" s="94" t="str">
        <f aca="false">IF(AND(I5&lt;&gt;"",J5&lt;&gt;""),MAX(0,J5-I5),"")</f>
        <v/>
      </c>
      <c r="AC5" s="27" t="str">
        <f aca="false">IF(OR(ISNUMBER(SEARCH("เคลียร์สินค้าและจัดส่งสินค้าแล้ว",W5)),ISNUMBER(SEARCH("เคลียร์สินค้าเรียบร้อย",W5)),ISNUMBER(SEARCH("เคลียร์สินค้าและจัดส่งแล้ว",W5)),ISNUMBER(SEARCH("จัดส่งสินค้าแล้ว",W5))), "จบงานแล้ว", "")</f>
        <v/>
      </c>
      <c r="AD5" s="40"/>
      <c r="AE5" s="41"/>
      <c r="AF5" s="42"/>
      <c r="AG5" s="41"/>
      <c r="AH5" s="91"/>
      <c r="AI5" s="91"/>
      <c r="AJ5" s="91"/>
      <c r="AK5" s="92"/>
    </row>
    <row r="6" s="45" customFormat="true" ht="15" hidden="false" customHeight="false" outlineLevel="0" collapsed="false">
      <c r="A6" s="84"/>
      <c r="B6" s="85"/>
      <c r="C6" s="85"/>
      <c r="D6" s="85"/>
      <c r="E6" s="85"/>
      <c r="F6" s="85"/>
      <c r="G6" s="85"/>
      <c r="H6" s="86"/>
      <c r="I6" s="87"/>
      <c r="J6" s="87"/>
      <c r="K6" s="85"/>
      <c r="L6" s="95"/>
      <c r="M6" s="85"/>
      <c r="N6" s="85"/>
      <c r="O6" s="85"/>
      <c r="P6" s="88"/>
      <c r="Q6" s="85"/>
      <c r="R6" s="89"/>
      <c r="S6" s="89"/>
      <c r="T6" s="89"/>
      <c r="U6" s="89"/>
      <c r="V6" s="89"/>
      <c r="W6" s="85"/>
      <c r="X6" s="85"/>
      <c r="Y6" s="85"/>
      <c r="Z6" s="27" t="str">
        <f aca="false">IF(AC6="จบงานแล้ว","จบงานแล้ว",IF(J6="","In Transit",IF(J6&lt;=I6,"On Time","Delayed")))</f>
        <v>In Transit</v>
      </c>
      <c r="AA6" s="26" t="str">
        <f aca="false">IFERROR(IF(AND(ISNUMBER(R6),ISNUMBER(U6)),U6-R6,""),"")</f>
        <v/>
      </c>
      <c r="AB6" s="26" t="str">
        <f aca="false">IF(AND(I6&lt;&gt;"",J6&lt;&gt;""),MAX(0,J6-I6),"")</f>
        <v/>
      </c>
      <c r="AC6" s="27" t="str">
        <f aca="false">IF(OR(ISNUMBER(SEARCH("เคลียร์สินค้าและจัดส่งสินค้าแล้ว",W6)),ISNUMBER(SEARCH("เคลียร์สินค้าเรียบร้อย",W6)),ISNUMBER(SEARCH("เคลียร์สินค้าและจัดส่งแล้ว",W6)),ISNUMBER(SEARCH("จัดส่งสินค้าแล้ว",W6))), "จบงานแล้ว", "")</f>
        <v/>
      </c>
      <c r="AD6" s="28"/>
      <c r="AE6" s="29"/>
      <c r="AF6" s="30"/>
      <c r="AG6" s="29"/>
      <c r="AH6" s="91"/>
      <c r="AI6" s="91"/>
      <c r="AJ6" s="91"/>
      <c r="AK6" s="92"/>
    </row>
    <row r="7" s="45" customFormat="true" ht="15" hidden="false" customHeight="false" outlineLevel="0" collapsed="false">
      <c r="A7" s="31"/>
      <c r="B7" s="32"/>
      <c r="C7" s="32"/>
      <c r="D7" s="32"/>
      <c r="E7" s="32"/>
      <c r="F7" s="32"/>
      <c r="G7" s="32"/>
      <c r="H7" s="81"/>
      <c r="I7" s="38"/>
      <c r="J7" s="38"/>
      <c r="K7" s="32"/>
      <c r="L7" s="32"/>
      <c r="M7" s="32"/>
      <c r="N7" s="32"/>
      <c r="O7" s="32"/>
      <c r="P7" s="37"/>
      <c r="Q7" s="32"/>
      <c r="R7" s="34"/>
      <c r="S7" s="34"/>
      <c r="T7" s="34"/>
      <c r="U7" s="34"/>
      <c r="V7" s="34"/>
      <c r="W7" s="32"/>
      <c r="X7" s="32"/>
      <c r="Y7" s="32"/>
      <c r="Z7" s="27" t="str">
        <f aca="false">IF(AC7="จบงานแล้ว","จบงานแล้ว",IF(J7="","In Transit",IF(J7&lt;=I7,"On Time","Delayed")))</f>
        <v>In Transit</v>
      </c>
      <c r="AA7" s="26" t="str">
        <f aca="false">IFERROR(IF(AND(ISNUMBER(R7),ISNUMBER(U7)),U7-R7,""),"")</f>
        <v/>
      </c>
      <c r="AB7" s="26" t="str">
        <f aca="false">IF(AND(I7&lt;&gt;"",J7&lt;&gt;""),MAX(0,J7-I7),"")</f>
        <v/>
      </c>
      <c r="AC7" s="27" t="str">
        <f aca="false">IF(OR(ISNUMBER(SEARCH("เคลียร์สินค้าและจัดส่งสินค้าแล้ว",W7)),ISNUMBER(SEARCH("เคลียร์สินค้าเรียบร้อย",W7)),ISNUMBER(SEARCH("เคลียร์สินค้าและจัดส่งแล้ว",W7)),ISNUMBER(SEARCH("จัดส่งสินค้าแล้ว",W7))), "จบงานแล้ว", "")</f>
        <v/>
      </c>
      <c r="AD7" s="40"/>
      <c r="AE7" s="41"/>
      <c r="AF7" s="42"/>
      <c r="AG7" s="41"/>
      <c r="AH7" s="91"/>
      <c r="AI7" s="91"/>
      <c r="AJ7" s="91"/>
      <c r="AK7" s="92"/>
    </row>
    <row r="8" s="45" customFormat="true" ht="15" hidden="false" customHeight="false" outlineLevel="0" collapsed="false">
      <c r="A8" s="84"/>
      <c r="B8" s="85"/>
      <c r="C8" s="85"/>
      <c r="D8" s="85"/>
      <c r="E8" s="85"/>
      <c r="F8" s="85"/>
      <c r="G8" s="85"/>
      <c r="H8" s="86"/>
      <c r="I8" s="87"/>
      <c r="J8" s="87"/>
      <c r="K8" s="85"/>
      <c r="L8" s="85"/>
      <c r="M8" s="85"/>
      <c r="N8" s="85"/>
      <c r="O8" s="85"/>
      <c r="P8" s="88"/>
      <c r="Q8" s="85"/>
      <c r="R8" s="89"/>
      <c r="S8" s="89"/>
      <c r="T8" s="89"/>
      <c r="U8" s="89"/>
      <c r="V8" s="89"/>
      <c r="W8" s="85"/>
      <c r="X8" s="85"/>
      <c r="Y8" s="85"/>
      <c r="Z8" s="27" t="str">
        <f aca="false">IF(AC8="จบงานแล้ว","จบงานแล้ว",IF(J8="","In Transit",IF(J8&lt;=I8,"On Time","Delayed")))</f>
        <v>In Transit</v>
      </c>
      <c r="AA8" s="26" t="str">
        <f aca="false">IFERROR(IF(AND(ISNUMBER(R8),ISNUMBER(U8)),U8-R8,""),"")</f>
        <v/>
      </c>
      <c r="AB8" s="26" t="str">
        <f aca="false">IF(AND(I8&lt;&gt;"",J8&lt;&gt;""),MAX(0,J8-I8),"")</f>
        <v/>
      </c>
      <c r="AC8" s="27" t="str">
        <f aca="false">IF(OR(ISNUMBER(SEARCH("เคลียร์สินค้าและจัดส่งสินค้าแล้ว",W8)),ISNUMBER(SEARCH("เคลียร์สินค้าเรียบร้อย",W8)),ISNUMBER(SEARCH("เคลียร์สินค้าและจัดส่งแล้ว",W8)),ISNUMBER(SEARCH("จัดส่งสินค้าแล้ว",W8))), "จบงานแล้ว", "")</f>
        <v/>
      </c>
      <c r="AD8" s="28"/>
      <c r="AE8" s="29"/>
      <c r="AF8" s="30"/>
      <c r="AG8" s="29"/>
      <c r="AH8" s="91"/>
      <c r="AI8" s="91"/>
      <c r="AJ8" s="91"/>
      <c r="AK8" s="92"/>
    </row>
    <row r="9" s="45" customFormat="true" ht="15" hidden="false" customHeight="false" outlineLevel="0" collapsed="false">
      <c r="A9" s="31"/>
      <c r="B9" s="32"/>
      <c r="C9" s="32"/>
      <c r="D9" s="32"/>
      <c r="E9" s="32"/>
      <c r="F9" s="32"/>
      <c r="G9" s="32"/>
      <c r="H9" s="81"/>
      <c r="I9" s="38"/>
      <c r="J9" s="38"/>
      <c r="K9" s="32"/>
      <c r="L9" s="32"/>
      <c r="M9" s="32"/>
      <c r="N9" s="32"/>
      <c r="O9" s="32"/>
      <c r="P9" s="37"/>
      <c r="Q9" s="32"/>
      <c r="R9" s="34"/>
      <c r="S9" s="34"/>
      <c r="T9" s="34"/>
      <c r="U9" s="34"/>
      <c r="V9" s="34"/>
      <c r="W9" s="32"/>
      <c r="X9" s="32"/>
      <c r="Y9" s="32"/>
      <c r="Z9" s="27" t="str">
        <f aca="false">IF(AC9="จบงานแล้ว","จบงานแล้ว",IF(J9="","In Transit",IF(J9&lt;=I9,"On Time","Delayed")))</f>
        <v>In Transit</v>
      </c>
      <c r="AA9" s="26" t="str">
        <f aca="false">IFERROR(IF(AND(ISNUMBER(R9),ISNUMBER(U9)),U9-R9,""),"")</f>
        <v/>
      </c>
      <c r="AB9" s="26" t="str">
        <f aca="false">IF(AND(I9&lt;&gt;"",J9&lt;&gt;""),MAX(0,J9-I9),"")</f>
        <v/>
      </c>
      <c r="AC9" s="27" t="str">
        <f aca="false">IF(OR(ISNUMBER(SEARCH("เคลียร์สินค้าและจัดส่งสินค้าแล้ว",W9)),ISNUMBER(SEARCH("เคลียร์สินค้าเรียบร้อย",W9)),ISNUMBER(SEARCH("เคลียร์สินค้าและจัดส่งแล้ว",W9)),ISNUMBER(SEARCH("จัดส่งสินค้าแล้ว",W9))), "จบงานแล้ว", "")</f>
        <v/>
      </c>
      <c r="AD9" s="40"/>
      <c r="AE9" s="41"/>
      <c r="AF9" s="42"/>
      <c r="AG9" s="41"/>
      <c r="AH9" s="91"/>
      <c r="AI9" s="91"/>
      <c r="AJ9" s="91"/>
      <c r="AK9" s="92"/>
    </row>
    <row r="10" s="45" customFormat="true" ht="15" hidden="false" customHeight="false" outlineLevel="0" collapsed="false">
      <c r="A10" s="84"/>
      <c r="B10" s="85"/>
      <c r="C10" s="85"/>
      <c r="D10" s="85"/>
      <c r="E10" s="85"/>
      <c r="F10" s="85"/>
      <c r="G10" s="85"/>
      <c r="H10" s="86"/>
      <c r="I10" s="87"/>
      <c r="J10" s="87"/>
      <c r="K10" s="85"/>
      <c r="L10" s="85"/>
      <c r="M10" s="85"/>
      <c r="N10" s="85"/>
      <c r="O10" s="85"/>
      <c r="P10" s="88"/>
      <c r="Q10" s="85"/>
      <c r="R10" s="89"/>
      <c r="S10" s="89"/>
      <c r="T10" s="89"/>
      <c r="U10" s="89"/>
      <c r="V10" s="89"/>
      <c r="W10" s="85"/>
      <c r="X10" s="85"/>
      <c r="Y10" s="85"/>
      <c r="Z10" s="27" t="str">
        <f aca="false">IF(AC10="จบงานแล้ว","จบงานแล้ว",IF(J10="","In Transit",IF(J10&lt;=I10,"On Time","Delayed")))</f>
        <v>In Transit</v>
      </c>
      <c r="AA10" s="26" t="str">
        <f aca="false">IFERROR(IF(AND(ISNUMBER(R10),ISNUMBER(U10)),U10-R10,""),"")</f>
        <v/>
      </c>
      <c r="AB10" s="26" t="str">
        <f aca="false">IF(AND(I10&lt;&gt;"",J10&lt;&gt;""),MAX(0,J10-I10),"")</f>
        <v/>
      </c>
      <c r="AC10" s="27" t="str">
        <f aca="false">IF(OR(ISNUMBER(SEARCH("เคลียร์สินค้าและจัดส่งสินค้าแล้ว",W10)),ISNUMBER(SEARCH("เคลียร์สินค้าเรียบร้อย",W10)),ISNUMBER(SEARCH("เคลียร์สินค้าและจัดส่งแล้ว",W10)),ISNUMBER(SEARCH("จัดส่งสินค้าแล้ว",W10))), "จบงานแล้ว", "")</f>
        <v/>
      </c>
      <c r="AD10" s="28"/>
      <c r="AE10" s="29"/>
      <c r="AF10" s="30"/>
      <c r="AG10" s="29"/>
      <c r="AH10" s="91"/>
      <c r="AI10" s="91"/>
      <c r="AJ10" s="91"/>
      <c r="AK10" s="92"/>
    </row>
    <row r="11" s="45" customFormat="true" ht="15" hidden="false" customHeight="false" outlineLevel="0" collapsed="false">
      <c r="A11" s="31"/>
      <c r="B11" s="32"/>
      <c r="C11" s="32"/>
      <c r="D11" s="32"/>
      <c r="E11" s="32"/>
      <c r="F11" s="32"/>
      <c r="G11" s="32"/>
      <c r="H11" s="81"/>
      <c r="I11" s="38"/>
      <c r="J11" s="38"/>
      <c r="K11" s="32"/>
      <c r="L11" s="32"/>
      <c r="M11" s="32"/>
      <c r="N11" s="32"/>
      <c r="O11" s="32"/>
      <c r="P11" s="37"/>
      <c r="Q11" s="32"/>
      <c r="R11" s="34"/>
      <c r="S11" s="34"/>
      <c r="T11" s="34"/>
      <c r="U11" s="34"/>
      <c r="V11" s="34"/>
      <c r="W11" s="32"/>
      <c r="X11" s="32"/>
      <c r="Y11" s="32"/>
      <c r="Z11" s="27" t="str">
        <f aca="false">IF(AC11="จบงานแล้ว","จบงานแล้ว",IF(J11="","In Transit",IF(J11&lt;=I11,"On Time","Delayed")))</f>
        <v>In Transit</v>
      </c>
      <c r="AA11" s="26" t="str">
        <f aca="false">IFERROR(IF(AND(ISNUMBER(R11),ISNUMBER(U11)),U11-R11,""),"")</f>
        <v/>
      </c>
      <c r="AB11" s="26" t="str">
        <f aca="false">IF(AND(I11&lt;&gt;"",J11&lt;&gt;""),MAX(0,J11-I11),"")</f>
        <v/>
      </c>
      <c r="AC11" s="27" t="str">
        <f aca="false">IF(OR(ISNUMBER(SEARCH("เคลียร์สินค้าและจัดส่งสินค้าแล้ว",W11)),ISNUMBER(SEARCH("เคลียร์สินค้าเรียบร้อย",W11)),ISNUMBER(SEARCH("เคลียร์สินค้าและจัดส่งแล้ว",W11)),ISNUMBER(SEARCH("จัดส่งสินค้าแล้ว",W11))), "จบงานแล้ว", "")</f>
        <v/>
      </c>
      <c r="AD11" s="40"/>
      <c r="AE11" s="41"/>
      <c r="AF11" s="42"/>
      <c r="AG11" s="41"/>
      <c r="AH11" s="91"/>
      <c r="AI11" s="91"/>
      <c r="AJ11" s="91"/>
      <c r="AK11" s="92"/>
    </row>
    <row r="12" s="45" customFormat="true" ht="15" hidden="false" customHeight="false" outlineLevel="0" collapsed="false">
      <c r="A12" s="84"/>
      <c r="B12" s="85"/>
      <c r="C12" s="85"/>
      <c r="D12" s="85"/>
      <c r="E12" s="85"/>
      <c r="F12" s="85"/>
      <c r="G12" s="85"/>
      <c r="H12" s="86"/>
      <c r="I12" s="87"/>
      <c r="J12" s="87"/>
      <c r="K12" s="85"/>
      <c r="L12" s="85"/>
      <c r="M12" s="85"/>
      <c r="N12" s="85"/>
      <c r="O12" s="85"/>
      <c r="P12" s="88"/>
      <c r="Q12" s="85"/>
      <c r="R12" s="89"/>
      <c r="S12" s="89"/>
      <c r="T12" s="89"/>
      <c r="U12" s="89"/>
      <c r="V12" s="89"/>
      <c r="W12" s="85"/>
      <c r="X12" s="85"/>
      <c r="Y12" s="85"/>
      <c r="Z12" s="27" t="str">
        <f aca="false">IF(AC12="จบงานแล้ว","จบงานแล้ว",IF(J12="","In Transit",IF(J12&lt;=I12,"On Time","Delayed")))</f>
        <v>In Transit</v>
      </c>
      <c r="AA12" s="26" t="str">
        <f aca="false">IFERROR(IF(AND(ISNUMBER(R12),ISNUMBER(U12)),U12-R12,""),"")</f>
        <v/>
      </c>
      <c r="AB12" s="26" t="str">
        <f aca="false">IF(AND(I12&lt;&gt;"",J12&lt;&gt;""),MAX(0,J12-I12),"")</f>
        <v/>
      </c>
      <c r="AC12" s="27" t="str">
        <f aca="false">IF(OR(ISNUMBER(SEARCH("เคลียร์สินค้าและจัดส่งสินค้าแล้ว",W12)),ISNUMBER(SEARCH("เคลียร์สินค้าเรียบร้อย",W12)),ISNUMBER(SEARCH("เคลียร์สินค้าและจัดส่งแล้ว",W12)),ISNUMBER(SEARCH("จัดส่งสินค้าแล้ว",W12))), "จบงานแล้ว", "")</f>
        <v/>
      </c>
      <c r="AD12" s="28"/>
      <c r="AE12" s="29"/>
      <c r="AF12" s="30"/>
      <c r="AG12" s="29"/>
      <c r="AH12" s="91"/>
      <c r="AI12" s="91"/>
      <c r="AJ12" s="91"/>
      <c r="AK12" s="92"/>
    </row>
    <row r="13" s="45" customFormat="true" ht="15" hidden="false" customHeight="false" outlineLevel="0" collapsed="false">
      <c r="A13" s="31"/>
      <c r="B13" s="32"/>
      <c r="C13" s="32"/>
      <c r="D13" s="32"/>
      <c r="E13" s="32"/>
      <c r="F13" s="32"/>
      <c r="G13" s="32"/>
      <c r="H13" s="81"/>
      <c r="I13" s="38"/>
      <c r="J13" s="38"/>
      <c r="K13" s="32"/>
      <c r="L13" s="32"/>
      <c r="M13" s="32"/>
      <c r="N13" s="32"/>
      <c r="O13" s="32"/>
      <c r="P13" s="37"/>
      <c r="Q13" s="32"/>
      <c r="R13" s="34"/>
      <c r="S13" s="34"/>
      <c r="T13" s="34"/>
      <c r="U13" s="34"/>
      <c r="V13" s="34"/>
      <c r="W13" s="32"/>
      <c r="X13" s="32"/>
      <c r="Y13" s="32"/>
      <c r="Z13" s="27" t="str">
        <f aca="false">IF(AC13="จบงานแล้ว","จบงานแล้ว",IF(J13="","In Transit",IF(J13&lt;=I13,"On Time","Delayed")))</f>
        <v>In Transit</v>
      </c>
      <c r="AA13" s="26" t="str">
        <f aca="false">IFERROR(IF(AND(ISNUMBER(R13),ISNUMBER(U13)),U13-R13,""),"")</f>
        <v/>
      </c>
      <c r="AB13" s="26" t="str">
        <f aca="false">IF(AND(I13&lt;&gt;"",J13&lt;&gt;""),MAX(0,J13-I13),"")</f>
        <v/>
      </c>
      <c r="AC13" s="27" t="str">
        <f aca="false">IF(OR(ISNUMBER(SEARCH("เคลียร์สินค้าและจัดส่งสินค้าแล้ว",W13)),ISNUMBER(SEARCH("เคลียร์สินค้าเรียบร้อย",W13)),ISNUMBER(SEARCH("เคลียร์สินค้าและจัดส่งแล้ว",W13)),ISNUMBER(SEARCH("จัดส่งสินค้าแล้ว",W13))), "จบงานแล้ว", "")</f>
        <v/>
      </c>
      <c r="AD13" s="40"/>
      <c r="AE13" s="41"/>
      <c r="AF13" s="42"/>
      <c r="AG13" s="41"/>
      <c r="AH13" s="91"/>
      <c r="AI13" s="91"/>
      <c r="AJ13" s="91"/>
      <c r="AK13" s="92"/>
    </row>
    <row r="14" s="45" customFormat="true" ht="15" hidden="false" customHeight="false" outlineLevel="0" collapsed="false">
      <c r="A14" s="84"/>
      <c r="B14" s="85"/>
      <c r="C14" s="85"/>
      <c r="D14" s="85"/>
      <c r="E14" s="85"/>
      <c r="F14" s="85"/>
      <c r="G14" s="85"/>
      <c r="H14" s="86"/>
      <c r="I14" s="87"/>
      <c r="J14" s="87"/>
      <c r="K14" s="85"/>
      <c r="L14" s="85"/>
      <c r="M14" s="85"/>
      <c r="N14" s="85"/>
      <c r="O14" s="85"/>
      <c r="P14" s="88"/>
      <c r="Q14" s="85"/>
      <c r="R14" s="89"/>
      <c r="S14" s="89"/>
      <c r="T14" s="89"/>
      <c r="U14" s="89"/>
      <c r="V14" s="89"/>
      <c r="W14" s="85"/>
      <c r="X14" s="90" t="b">
        <f aca="false">FALSE()</f>
        <v>0</v>
      </c>
      <c r="Y14" s="85"/>
      <c r="Z14" s="27" t="str">
        <f aca="false">IF(AC14="จบงานแล้ว","จบงานแล้ว",IF(J14="","In Transit",IF(J14&lt;=I14,"On Time","Delayed")))</f>
        <v>In Transit</v>
      </c>
      <c r="AA14" s="26" t="str">
        <f aca="false">IFERROR(IF(AND(ISNUMBER(R14),ISNUMBER(U14)),U14-R14,""),"")</f>
        <v/>
      </c>
      <c r="AB14" s="26" t="str">
        <f aca="false">IF(AND(I14&lt;&gt;"",J14&lt;&gt;""),MAX(0,J14-I14),"")</f>
        <v/>
      </c>
      <c r="AC14" s="27" t="str">
        <f aca="false">IF(OR(ISNUMBER(SEARCH("เคลียร์สินค้าและจัดส่งสินค้าแล้ว",W14)),ISNUMBER(SEARCH("เคลียร์สินค้าเรียบร้อย",W14)),ISNUMBER(SEARCH("เคลียร์สินค้าและจัดส่งแล้ว",W14)),ISNUMBER(SEARCH("จัดส่งสินค้าแล้ว",W14))), "จบงานแล้ว", "")</f>
        <v/>
      </c>
      <c r="AD14" s="28"/>
      <c r="AE14" s="29"/>
      <c r="AF14" s="30"/>
      <c r="AG14" s="29"/>
      <c r="AH14" s="91"/>
      <c r="AI14" s="91"/>
      <c r="AJ14" s="91"/>
      <c r="AK14" s="92"/>
    </row>
    <row r="15" s="45" customFormat="true" ht="15" hidden="false" customHeight="false" outlineLevel="0" collapsed="false">
      <c r="A15" s="96"/>
      <c r="B15" s="96"/>
      <c r="C15" s="96"/>
      <c r="D15" s="96"/>
      <c r="E15" s="97"/>
      <c r="F15" s="96"/>
      <c r="G15" s="96"/>
      <c r="H15" s="98"/>
      <c r="I15" s="98"/>
      <c r="J15" s="98"/>
      <c r="K15" s="96"/>
      <c r="L15" s="96"/>
      <c r="M15" s="96"/>
      <c r="N15" s="96"/>
      <c r="O15" s="96"/>
      <c r="P15" s="99" t="n">
        <f aca="false">FALSE()</f>
        <v>0</v>
      </c>
      <c r="Q15" s="96"/>
      <c r="R15" s="100"/>
      <c r="S15" s="100"/>
      <c r="T15" s="100"/>
      <c r="U15" s="100"/>
      <c r="V15" s="100"/>
      <c r="W15" s="96"/>
      <c r="X15" s="101" t="b">
        <f aca="false">FALSE()</f>
        <v>0</v>
      </c>
      <c r="Y15" s="101" t="b">
        <f aca="false">FALSE()</f>
        <v>0</v>
      </c>
      <c r="Z15" s="102"/>
      <c r="AA15" s="103"/>
      <c r="AB15" s="103"/>
      <c r="AC15" s="103"/>
      <c r="AD15" s="103"/>
      <c r="AE15" s="103"/>
      <c r="AF15" s="104"/>
      <c r="AG15" s="91"/>
      <c r="AH15" s="91"/>
      <c r="AI15" s="91"/>
      <c r="AJ15" s="91"/>
      <c r="AK15" s="92"/>
    </row>
    <row r="16" s="45" customFormat="true" ht="21.75" hidden="false" customHeight="true" outlineLevel="0" collapsed="false">
      <c r="A16" s="105"/>
      <c r="B16" s="105"/>
      <c r="C16" s="105"/>
      <c r="D16" s="105"/>
      <c r="E16" s="105"/>
      <c r="F16" s="105"/>
      <c r="G16" s="105"/>
      <c r="H16" s="105"/>
      <c r="I16" s="98"/>
      <c r="J16" s="98"/>
      <c r="K16" s="96"/>
      <c r="L16" s="96"/>
      <c r="M16" s="96"/>
      <c r="N16" s="96"/>
      <c r="O16" s="96"/>
      <c r="P16" s="99" t="n">
        <f aca="false">FALSE()</f>
        <v>0</v>
      </c>
      <c r="Q16" s="96"/>
      <c r="R16" s="100"/>
      <c r="S16" s="100"/>
      <c r="T16" s="100"/>
      <c r="U16" s="100"/>
      <c r="V16" s="100"/>
      <c r="W16" s="96"/>
      <c r="X16" s="101" t="b">
        <f aca="false">FALSE()</f>
        <v>0</v>
      </c>
      <c r="Y16" s="101" t="b">
        <f aca="false">FALSE()</f>
        <v>0</v>
      </c>
      <c r="Z16" s="102"/>
      <c r="AA16" s="103"/>
      <c r="AB16" s="103"/>
      <c r="AC16" s="103"/>
      <c r="AD16" s="103"/>
      <c r="AE16" s="103"/>
      <c r="AF16" s="104"/>
      <c r="AG16" s="91"/>
      <c r="AH16" s="91"/>
      <c r="AI16" s="91"/>
      <c r="AJ16" s="91"/>
      <c r="AK16" s="92"/>
    </row>
    <row r="17" s="111" customFormat="true" ht="19.5" hidden="false" customHeight="true" outlineLevel="0" collapsed="false">
      <c r="A17" s="106"/>
      <c r="B17" s="106"/>
      <c r="C17" s="107" t="n">
        <f aca="false">COUNTA(B3:B14)</f>
        <v>0</v>
      </c>
      <c r="D17" s="96"/>
      <c r="E17" s="97"/>
      <c r="F17" s="55"/>
      <c r="G17" s="96"/>
      <c r="H17" s="55"/>
      <c r="I17" s="98"/>
      <c r="J17" s="98"/>
      <c r="K17" s="96"/>
      <c r="L17" s="96"/>
      <c r="M17" s="96"/>
      <c r="N17" s="96"/>
      <c r="O17" s="96"/>
      <c r="P17" s="99" t="n">
        <f aca="false">FALSE()</f>
        <v>0</v>
      </c>
      <c r="Q17" s="96"/>
      <c r="R17" s="100"/>
      <c r="S17" s="100"/>
      <c r="T17" s="100"/>
      <c r="U17" s="100"/>
      <c r="V17" s="100"/>
      <c r="W17" s="96"/>
      <c r="X17" s="99" t="n">
        <f aca="false">FALSE()</f>
        <v>0</v>
      </c>
      <c r="Y17" s="99" t="n">
        <f aca="false">FALSE()</f>
        <v>0</v>
      </c>
      <c r="Z17" s="108"/>
      <c r="AA17" s="109"/>
      <c r="AB17" s="109"/>
      <c r="AC17" s="109"/>
      <c r="AD17" s="109"/>
      <c r="AE17" s="109"/>
      <c r="AF17" s="110"/>
      <c r="AG17" s="109"/>
      <c r="AH17" s="109"/>
      <c r="AI17" s="109"/>
      <c r="AJ17" s="109"/>
      <c r="AK17" s="108"/>
      <c r="AL17" s="109"/>
      <c r="AM17" s="109"/>
      <c r="AN17" s="109"/>
      <c r="AO17" s="109"/>
      <c r="AP17" s="109"/>
    </row>
    <row r="18" s="103" customFormat="true" ht="19.5" hidden="false" customHeight="true" outlineLevel="0" collapsed="false">
      <c r="A18" s="63"/>
      <c r="B18" s="63"/>
      <c r="C18" s="107" t="n">
        <f aca="false">COUNTIF(Z3:Z14,"On Time")</f>
        <v>0</v>
      </c>
      <c r="D18" s="112"/>
      <c r="E18" s="112"/>
      <c r="F18" s="54"/>
      <c r="G18" s="54"/>
      <c r="H18" s="54"/>
      <c r="I18" s="54"/>
      <c r="J18" s="54"/>
      <c r="K18" s="112"/>
      <c r="L18" s="112"/>
      <c r="M18" s="112"/>
      <c r="N18" s="112"/>
      <c r="O18" s="112"/>
      <c r="P18" s="99" t="n">
        <f aca="false">FALSE()</f>
        <v>0</v>
      </c>
      <c r="Q18" s="112"/>
      <c r="R18" s="113"/>
      <c r="S18" s="113"/>
      <c r="T18" s="113"/>
      <c r="U18" s="113"/>
      <c r="V18" s="113"/>
      <c r="W18" s="112"/>
      <c r="X18" s="99" t="n">
        <f aca="false">FALSE()</f>
        <v>0</v>
      </c>
      <c r="Y18" s="99" t="n">
        <f aca="false">FALSE()</f>
        <v>0</v>
      </c>
      <c r="Z18" s="92"/>
      <c r="AA18" s="45"/>
      <c r="AB18" s="45"/>
      <c r="AC18" s="45"/>
      <c r="AD18" s="45"/>
      <c r="AE18" s="45"/>
      <c r="AF18" s="114"/>
      <c r="AG18" s="45"/>
      <c r="AH18" s="45"/>
      <c r="AI18" s="45"/>
      <c r="AJ18" s="45"/>
      <c r="AK18" s="102"/>
      <c r="AQ18" s="102"/>
    </row>
    <row r="19" s="116" customFormat="true" ht="19.5" hidden="false" customHeight="true" outlineLevel="0" collapsed="false">
      <c r="A19" s="64"/>
      <c r="B19" s="64"/>
      <c r="C19" s="107" t="n">
        <f aca="false">COUNTIF(Z3:Z14,"Delayed")</f>
        <v>0</v>
      </c>
      <c r="D19" s="112"/>
      <c r="E19" s="112"/>
      <c r="F19" s="54"/>
      <c r="G19" s="54"/>
      <c r="H19" s="54"/>
      <c r="I19" s="54"/>
      <c r="J19" s="54"/>
      <c r="K19" s="112"/>
      <c r="L19" s="112"/>
      <c r="M19" s="112"/>
      <c r="N19" s="112"/>
      <c r="O19" s="112"/>
      <c r="P19" s="99" t="n">
        <f aca="false">FALSE()</f>
        <v>0</v>
      </c>
      <c r="Q19" s="112"/>
      <c r="R19" s="113"/>
      <c r="S19" s="113"/>
      <c r="T19" s="113"/>
      <c r="U19" s="113"/>
      <c r="V19" s="113"/>
      <c r="W19" s="112"/>
      <c r="X19" s="99" t="n">
        <f aca="false">FALSE()</f>
        <v>0</v>
      </c>
      <c r="Y19" s="99" t="n">
        <f aca="false">FALSE()</f>
        <v>0</v>
      </c>
      <c r="Z19" s="108"/>
      <c r="AA19" s="109"/>
      <c r="AB19" s="109"/>
      <c r="AC19" s="109"/>
      <c r="AD19" s="109"/>
      <c r="AE19" s="109"/>
      <c r="AF19" s="110"/>
      <c r="AG19" s="109"/>
      <c r="AH19" s="109"/>
      <c r="AI19" s="109"/>
      <c r="AJ19" s="109"/>
      <c r="AK19" s="115"/>
    </row>
    <row r="20" s="109" customFormat="true" ht="19.5" hidden="false" customHeight="true" outlineLevel="0" collapsed="false">
      <c r="A20" s="65"/>
      <c r="B20" s="65"/>
      <c r="C20" s="107" t="n">
        <f aca="false">COUNTIF(Z3:Z14,"In Transit")</f>
        <v>12</v>
      </c>
      <c r="D20" s="112"/>
      <c r="E20" s="112"/>
      <c r="F20" s="54"/>
      <c r="G20" s="54"/>
      <c r="H20" s="54"/>
      <c r="I20" s="54"/>
      <c r="J20" s="54"/>
      <c r="K20" s="112"/>
      <c r="L20" s="112"/>
      <c r="M20" s="112"/>
      <c r="N20" s="112"/>
      <c r="O20" s="112"/>
      <c r="P20" s="99" t="n">
        <f aca="false">FALSE()</f>
        <v>0</v>
      </c>
      <c r="Q20" s="112"/>
      <c r="R20" s="113"/>
      <c r="S20" s="113"/>
      <c r="T20" s="113"/>
      <c r="U20" s="113"/>
      <c r="V20" s="113"/>
      <c r="W20" s="112"/>
      <c r="X20" s="99" t="n">
        <f aca="false">FALSE()</f>
        <v>0</v>
      </c>
      <c r="Y20" s="99" t="n">
        <f aca="false">FALSE()</f>
        <v>0</v>
      </c>
      <c r="Z20" s="108"/>
      <c r="AF20" s="110"/>
      <c r="AK20" s="108"/>
    </row>
    <row r="21" s="91" customFormat="true" ht="19.5" hidden="false" customHeight="true" outlineLevel="0" collapsed="false">
      <c r="A21" s="66"/>
      <c r="B21" s="66"/>
      <c r="C21" s="107" t="n">
        <f aca="false">COUNTIF(Z3:Z14,"จบงานแล้ว")</f>
        <v>0</v>
      </c>
      <c r="D21" s="112"/>
      <c r="E21" s="112"/>
      <c r="F21" s="54"/>
      <c r="G21" s="54"/>
      <c r="H21" s="54"/>
      <c r="I21" s="54"/>
      <c r="J21" s="54"/>
      <c r="K21" s="112"/>
      <c r="L21" s="112"/>
      <c r="M21" s="112"/>
      <c r="N21" s="112"/>
      <c r="O21" s="112"/>
      <c r="P21" s="99" t="n">
        <f aca="false">FALSE()</f>
        <v>0</v>
      </c>
      <c r="Q21" s="112"/>
      <c r="R21" s="113"/>
      <c r="S21" s="113"/>
      <c r="T21" s="113"/>
      <c r="U21" s="113"/>
      <c r="V21" s="113"/>
      <c r="W21" s="112"/>
      <c r="X21" s="99" t="n">
        <f aca="false">FALSE()</f>
        <v>0</v>
      </c>
      <c r="Y21" s="99" t="n">
        <f aca="false">FALSE()</f>
        <v>0</v>
      </c>
      <c r="Z21" s="92"/>
      <c r="AA21" s="45"/>
      <c r="AB21" s="45"/>
      <c r="AC21" s="45"/>
      <c r="AD21" s="45"/>
      <c r="AE21" s="45"/>
      <c r="AF21" s="114"/>
      <c r="AG21" s="45"/>
      <c r="AH21" s="45"/>
      <c r="AI21" s="45"/>
      <c r="AJ21" s="45"/>
    </row>
    <row r="22" s="91" customFormat="true" ht="19.5" hidden="false" customHeight="true" outlineLevel="0" collapsed="false">
      <c r="A22" s="106"/>
      <c r="B22" s="106"/>
      <c r="C22" s="117" t="n">
        <f aca="false">IFERROR(COUNTIF(Z3:Z14,"On Time")/COUNTA(Z3:Z14),"N/A")</f>
        <v>0</v>
      </c>
      <c r="D22" s="112"/>
      <c r="E22" s="112"/>
      <c r="F22" s="112"/>
      <c r="G22" s="112"/>
      <c r="H22" s="118"/>
      <c r="I22" s="118"/>
      <c r="J22" s="118"/>
      <c r="K22" s="112"/>
      <c r="L22" s="112"/>
      <c r="M22" s="112"/>
      <c r="N22" s="112"/>
      <c r="O22" s="112"/>
      <c r="P22" s="99" t="n">
        <f aca="false">FALSE()</f>
        <v>0</v>
      </c>
      <c r="Q22" s="112"/>
      <c r="R22" s="113"/>
      <c r="S22" s="113"/>
      <c r="T22" s="113"/>
      <c r="U22" s="113"/>
      <c r="V22" s="113"/>
      <c r="W22" s="112"/>
      <c r="X22" s="99" t="n">
        <f aca="false">FALSE()</f>
        <v>0</v>
      </c>
      <c r="Y22" s="99" t="n">
        <f aca="false">FALSE()</f>
        <v>0</v>
      </c>
      <c r="Z22" s="92"/>
      <c r="AA22" s="45"/>
      <c r="AB22" s="45"/>
      <c r="AC22" s="45"/>
      <c r="AD22" s="45"/>
      <c r="AE22" s="45"/>
      <c r="AF22" s="114"/>
      <c r="AG22" s="45"/>
      <c r="AH22" s="45"/>
      <c r="AI22" s="45"/>
      <c r="AJ22" s="45"/>
    </row>
    <row r="23" s="91" customFormat="true" ht="19.5" hidden="false" customHeight="true" outlineLevel="0" collapsed="false">
      <c r="A23" s="106"/>
      <c r="B23" s="106"/>
      <c r="C23" s="119" t="str">
        <f aca="false">IFERROR(AVERAGEIF(AA3:AA14,"&lt;&gt;"&amp;"",AA3:AA14),"N/A")</f>
        <v>N/A</v>
      </c>
      <c r="D23" s="112"/>
      <c r="E23" s="112"/>
      <c r="F23" s="112"/>
      <c r="G23" s="112"/>
      <c r="H23" s="118"/>
      <c r="I23" s="118"/>
      <c r="J23" s="118"/>
      <c r="K23" s="112"/>
      <c r="L23" s="112"/>
      <c r="M23" s="112"/>
      <c r="N23" s="112"/>
      <c r="O23" s="112"/>
      <c r="P23" s="99" t="n">
        <f aca="false">FALSE()</f>
        <v>0</v>
      </c>
      <c r="Q23" s="112"/>
      <c r="R23" s="113"/>
      <c r="S23" s="113"/>
      <c r="T23" s="113"/>
      <c r="U23" s="113"/>
      <c r="V23" s="113"/>
      <c r="W23" s="112"/>
      <c r="X23" s="99" t="n">
        <f aca="false">FALSE()</f>
        <v>0</v>
      </c>
      <c r="Y23" s="99" t="n">
        <f aca="false">FALSE()</f>
        <v>0</v>
      </c>
      <c r="Z23" s="92"/>
      <c r="AA23" s="45"/>
      <c r="AB23" s="45"/>
      <c r="AC23" s="45"/>
      <c r="AD23" s="45"/>
      <c r="AE23" s="45"/>
      <c r="AF23" s="114"/>
      <c r="AG23" s="45"/>
      <c r="AH23" s="45"/>
      <c r="AI23" s="45"/>
      <c r="AJ23" s="45"/>
    </row>
    <row r="24" s="91" customFormat="true" ht="19.5" hidden="false" customHeight="true" outlineLevel="0" collapsed="false">
      <c r="A24" s="106"/>
      <c r="B24" s="106"/>
      <c r="C24" s="119" t="str">
        <f aca="false">IFERROR(AVERAGEIF(AB3:AB14,"&gt;"&amp;0,AB3:AB14),"N/A")</f>
        <v>N/A</v>
      </c>
      <c r="D24" s="112"/>
      <c r="E24" s="112"/>
      <c r="F24" s="112"/>
      <c r="G24" s="112"/>
      <c r="H24" s="118"/>
      <c r="I24" s="118"/>
      <c r="J24" s="118"/>
      <c r="K24" s="112"/>
      <c r="L24" s="112"/>
      <c r="M24" s="112"/>
      <c r="N24" s="112"/>
      <c r="O24" s="112"/>
      <c r="P24" s="99" t="n">
        <f aca="false">FALSE()</f>
        <v>0</v>
      </c>
      <c r="Q24" s="112"/>
      <c r="R24" s="113"/>
      <c r="S24" s="113"/>
      <c r="T24" s="113"/>
      <c r="U24" s="113"/>
      <c r="V24" s="113"/>
      <c r="W24" s="112"/>
      <c r="X24" s="99" t="n">
        <f aca="false">FALSE()</f>
        <v>0</v>
      </c>
      <c r="Y24" s="99" t="n">
        <f aca="false">FALSE()</f>
        <v>0</v>
      </c>
      <c r="Z24" s="92"/>
      <c r="AA24" s="45"/>
      <c r="AB24" s="45"/>
      <c r="AC24" s="45"/>
      <c r="AD24" s="45"/>
      <c r="AE24" s="45"/>
      <c r="AF24" s="114"/>
      <c r="AG24" s="45"/>
      <c r="AH24" s="45"/>
      <c r="AI24" s="45"/>
      <c r="AJ24" s="45"/>
    </row>
    <row r="25" s="91" customFormat="true" ht="19.5" hidden="false" customHeight="true" outlineLevel="0" collapsed="false">
      <c r="A25" s="69"/>
      <c r="B25" s="69"/>
      <c r="C25" s="107" t="n">
        <f aca="false">IFERROR(COUNTA(AG3:AG14),0)</f>
        <v>0</v>
      </c>
      <c r="D25" s="112"/>
      <c r="E25" s="112"/>
      <c r="F25" s="112"/>
      <c r="G25" s="112"/>
      <c r="H25" s="118"/>
      <c r="I25" s="118"/>
      <c r="J25" s="118"/>
      <c r="K25" s="112"/>
      <c r="L25" s="112"/>
      <c r="M25" s="112"/>
      <c r="N25" s="112"/>
      <c r="O25" s="112"/>
      <c r="P25" s="99" t="n">
        <f aca="false">FALSE()</f>
        <v>0</v>
      </c>
      <c r="Q25" s="112"/>
      <c r="R25" s="113"/>
      <c r="S25" s="113"/>
      <c r="T25" s="113"/>
      <c r="U25" s="113"/>
      <c r="V25" s="113"/>
      <c r="W25" s="112"/>
      <c r="X25" s="99" t="n">
        <f aca="false">FALSE()</f>
        <v>0</v>
      </c>
      <c r="Y25" s="99" t="n">
        <f aca="false">FALSE()</f>
        <v>0</v>
      </c>
      <c r="Z25" s="92"/>
      <c r="AA25" s="45"/>
      <c r="AB25" s="45"/>
      <c r="AC25" s="45"/>
      <c r="AD25" s="45"/>
      <c r="AE25" s="45"/>
      <c r="AF25" s="114"/>
      <c r="AG25" s="45"/>
      <c r="AH25" s="45"/>
      <c r="AI25" s="45"/>
      <c r="AJ25" s="45"/>
    </row>
    <row r="26" s="91" customFormat="true" ht="19.5" hidden="false" customHeight="true" outlineLevel="0" collapsed="false">
      <c r="A26" s="63"/>
      <c r="B26" s="63"/>
      <c r="C26" s="107" t="n">
        <f aca="false">COUNTIF(AG3:AG14,"Paid")</f>
        <v>0</v>
      </c>
      <c r="D26" s="112"/>
      <c r="E26" s="112"/>
      <c r="F26" s="112"/>
      <c r="G26" s="112"/>
      <c r="H26" s="118"/>
      <c r="I26" s="118"/>
      <c r="J26" s="118"/>
      <c r="K26" s="112"/>
      <c r="L26" s="112"/>
      <c r="M26" s="112"/>
      <c r="N26" s="112"/>
      <c r="O26" s="112"/>
      <c r="P26" s="99" t="n">
        <f aca="false">FALSE()</f>
        <v>0</v>
      </c>
      <c r="Q26" s="112"/>
      <c r="R26" s="113"/>
      <c r="S26" s="113"/>
      <c r="T26" s="113"/>
      <c r="U26" s="113"/>
      <c r="V26" s="113"/>
      <c r="W26" s="112"/>
      <c r="X26" s="99" t="n">
        <f aca="false">FALSE()</f>
        <v>0</v>
      </c>
      <c r="Y26" s="99" t="n">
        <f aca="false">FALSE()</f>
        <v>0</v>
      </c>
      <c r="Z26" s="92"/>
      <c r="AA26" s="45"/>
      <c r="AB26" s="45"/>
      <c r="AC26" s="45"/>
      <c r="AD26" s="45"/>
      <c r="AE26" s="45"/>
      <c r="AF26" s="114"/>
      <c r="AG26" s="45"/>
      <c r="AH26" s="45"/>
      <c r="AI26" s="45"/>
      <c r="AJ26" s="45"/>
    </row>
    <row r="27" s="91" customFormat="true" ht="19.5" hidden="false" customHeight="true" outlineLevel="0" collapsed="false">
      <c r="A27" s="64"/>
      <c r="B27" s="64"/>
      <c r="C27" s="107" t="n">
        <f aca="false">COUNTIF(AG3:AG14,"Unpaid")+COUNTIF(AG3:AG14,"Pending")</f>
        <v>0</v>
      </c>
      <c r="D27" s="112"/>
      <c r="E27" s="112"/>
      <c r="F27" s="112"/>
      <c r="G27" s="112"/>
      <c r="H27" s="118"/>
      <c r="I27" s="118"/>
      <c r="J27" s="118"/>
      <c r="K27" s="112"/>
      <c r="L27" s="112"/>
      <c r="M27" s="112"/>
      <c r="N27" s="112"/>
      <c r="O27" s="112"/>
      <c r="P27" s="112"/>
      <c r="Q27" s="112"/>
      <c r="R27" s="113"/>
      <c r="S27" s="113"/>
      <c r="T27" s="113"/>
      <c r="U27" s="113"/>
      <c r="V27" s="113"/>
      <c r="W27" s="112"/>
      <c r="X27" s="99" t="n">
        <f aca="false">FALSE()</f>
        <v>0</v>
      </c>
      <c r="Y27" s="99" t="n">
        <f aca="false">FALSE()</f>
        <v>0</v>
      </c>
      <c r="Z27" s="92"/>
      <c r="AA27" s="45"/>
      <c r="AB27" s="45"/>
      <c r="AC27" s="45"/>
      <c r="AD27" s="45"/>
      <c r="AE27" s="45"/>
      <c r="AF27" s="114"/>
      <c r="AG27" s="45"/>
      <c r="AH27" s="45"/>
      <c r="AI27" s="45"/>
      <c r="AJ27" s="45"/>
    </row>
    <row r="28" s="111" customFormat="true" ht="19.5" hidden="false" customHeight="true" outlineLevel="0" collapsed="false">
      <c r="A28" s="69"/>
      <c r="B28" s="69"/>
      <c r="C28" s="120" t="n">
        <f aca="false">IFERROR(SUM(AF3:AF14),0)</f>
        <v>0</v>
      </c>
      <c r="D28" s="112"/>
      <c r="E28" s="112"/>
      <c r="F28" s="112"/>
      <c r="G28" s="112"/>
      <c r="H28" s="118"/>
      <c r="I28" s="118"/>
      <c r="J28" s="118"/>
      <c r="K28" s="112"/>
      <c r="L28" s="112"/>
      <c r="M28" s="112"/>
      <c r="N28" s="112"/>
      <c r="O28" s="112"/>
      <c r="P28" s="112"/>
      <c r="Q28" s="112"/>
      <c r="R28" s="113"/>
      <c r="S28" s="113"/>
      <c r="T28" s="113"/>
      <c r="U28" s="113"/>
      <c r="V28" s="113"/>
      <c r="W28" s="112"/>
      <c r="X28" s="99" t="n">
        <f aca="false">FALSE()</f>
        <v>0</v>
      </c>
      <c r="Y28" s="99" t="n">
        <f aca="false">FALSE()</f>
        <v>0</v>
      </c>
      <c r="Z28" s="115"/>
      <c r="AA28" s="116"/>
      <c r="AB28" s="116"/>
      <c r="AC28" s="109"/>
      <c r="AD28" s="109"/>
      <c r="AE28" s="109"/>
      <c r="AF28" s="110"/>
      <c r="AG28" s="109"/>
      <c r="AH28" s="109"/>
      <c r="AI28" s="109"/>
      <c r="AJ28" s="109"/>
      <c r="AK28" s="108"/>
      <c r="AL28" s="109"/>
      <c r="AM28" s="109"/>
      <c r="AN28" s="109"/>
      <c r="AO28" s="109"/>
      <c r="AP28" s="109"/>
    </row>
    <row r="29" s="103" customFormat="true" ht="19.5" hidden="false" customHeight="true" outlineLevel="0" collapsed="false">
      <c r="A29" s="63"/>
      <c r="B29" s="63"/>
      <c r="C29" s="120" t="n">
        <f aca="false">IFERROR(SUMIF(AG3:AG14,"Paid",AF3:AF14),0)</f>
        <v>0</v>
      </c>
      <c r="D29" s="112"/>
      <c r="E29" s="112"/>
      <c r="F29" s="112"/>
      <c r="G29" s="112"/>
      <c r="H29" s="118"/>
      <c r="I29" s="118"/>
      <c r="J29" s="118"/>
      <c r="K29" s="112"/>
      <c r="L29" s="112"/>
      <c r="M29" s="112"/>
      <c r="N29" s="112"/>
      <c r="O29" s="112"/>
      <c r="P29" s="112"/>
      <c r="Q29" s="112"/>
      <c r="R29" s="113"/>
      <c r="S29" s="113"/>
      <c r="T29" s="113"/>
      <c r="U29" s="113"/>
      <c r="V29" s="113"/>
      <c r="W29" s="112"/>
      <c r="X29" s="99" t="n">
        <f aca="false">FALSE()</f>
        <v>0</v>
      </c>
      <c r="Y29" s="99" t="n">
        <f aca="false">FALSE()</f>
        <v>0</v>
      </c>
      <c r="Z29" s="121"/>
      <c r="AA29" s="122"/>
      <c r="AB29" s="122"/>
      <c r="AC29" s="92"/>
      <c r="AD29" s="45"/>
      <c r="AE29" s="45"/>
      <c r="AF29" s="114"/>
      <c r="AG29" s="45"/>
      <c r="AH29" s="45"/>
      <c r="AI29" s="45"/>
      <c r="AJ29" s="45"/>
      <c r="AK29" s="102"/>
      <c r="AQ29" s="102"/>
    </row>
    <row r="30" s="103" customFormat="true" ht="19.5" hidden="false" customHeight="true" outlineLevel="0" collapsed="false">
      <c r="A30" s="64"/>
      <c r="B30" s="64"/>
      <c r="C30" s="120" t="n">
        <f aca="false">IFERROR(SUMIF(AG3:AG14,"Unpaid",AF3:AF14)+SUMIF(AG3:AG14,"Pending",AF3:AF14),0)</f>
        <v>0</v>
      </c>
      <c r="D30" s="112"/>
      <c r="E30" s="112"/>
      <c r="F30" s="112"/>
      <c r="G30" s="112"/>
      <c r="H30" s="118"/>
      <c r="I30" s="118"/>
      <c r="J30" s="118"/>
      <c r="K30" s="112"/>
      <c r="L30" s="112"/>
      <c r="M30" s="112"/>
      <c r="N30" s="112"/>
      <c r="O30" s="112"/>
      <c r="P30" s="112"/>
      <c r="Q30" s="112"/>
      <c r="R30" s="113"/>
      <c r="S30" s="113"/>
      <c r="T30" s="113"/>
      <c r="U30" s="113"/>
      <c r="V30" s="113"/>
      <c r="W30" s="112"/>
      <c r="X30" s="112"/>
      <c r="Y30" s="123"/>
      <c r="Z30" s="124"/>
      <c r="AA30" s="125"/>
      <c r="AB30" s="125"/>
      <c r="AC30" s="45"/>
      <c r="AD30" s="45"/>
      <c r="AE30" s="45"/>
      <c r="AF30" s="114"/>
      <c r="AG30" s="45"/>
      <c r="AH30" s="45"/>
      <c r="AI30" s="45"/>
      <c r="AJ30" s="45"/>
      <c r="AK30" s="102"/>
      <c r="AQ30" s="102"/>
    </row>
    <row r="31" s="103" customFormat="true" ht="15" hidden="false" customHeight="false" outlineLevel="0" collapsed="false">
      <c r="A31" s="112"/>
      <c r="B31" s="112"/>
      <c r="C31" s="112"/>
      <c r="D31" s="112"/>
      <c r="E31" s="112"/>
      <c r="F31" s="112"/>
      <c r="G31" s="112"/>
      <c r="H31" s="118"/>
      <c r="I31" s="118"/>
      <c r="J31" s="118"/>
      <c r="K31" s="112"/>
      <c r="L31" s="112"/>
      <c r="M31" s="112"/>
      <c r="N31" s="112"/>
      <c r="O31" s="112"/>
      <c r="P31" s="112"/>
      <c r="Q31" s="112"/>
      <c r="R31" s="113"/>
      <c r="S31" s="113"/>
      <c r="T31" s="113"/>
      <c r="U31" s="113"/>
      <c r="V31" s="113"/>
      <c r="W31" s="112"/>
      <c r="X31" s="112"/>
      <c r="Y31" s="123"/>
      <c r="Z31" s="92"/>
      <c r="AA31" s="45"/>
      <c r="AB31" s="45"/>
      <c r="AC31" s="45"/>
      <c r="AD31" s="45"/>
      <c r="AE31" s="45"/>
      <c r="AF31" s="114"/>
      <c r="AG31" s="45"/>
      <c r="AH31" s="45"/>
      <c r="AI31" s="45"/>
      <c r="AJ31" s="45"/>
      <c r="AK31" s="102"/>
      <c r="AQ31" s="102"/>
    </row>
    <row r="32" s="103" customFormat="true" ht="15" hidden="false" customHeight="false" outlineLevel="0" collapsed="false">
      <c r="A32" s="112"/>
      <c r="B32" s="112"/>
      <c r="C32" s="112"/>
      <c r="D32" s="112"/>
      <c r="E32" s="112"/>
      <c r="F32" s="112"/>
      <c r="G32" s="112"/>
      <c r="H32" s="118"/>
      <c r="I32" s="118"/>
      <c r="J32" s="118"/>
      <c r="K32" s="112"/>
      <c r="L32" s="112"/>
      <c r="M32" s="112"/>
      <c r="N32" s="112"/>
      <c r="O32" s="112"/>
      <c r="P32" s="112"/>
      <c r="Q32" s="112"/>
      <c r="R32" s="113"/>
      <c r="S32" s="113"/>
      <c r="T32" s="113"/>
      <c r="U32" s="113"/>
      <c r="V32" s="113"/>
      <c r="W32" s="112"/>
      <c r="X32" s="112"/>
      <c r="Y32" s="123"/>
      <c r="Z32" s="92"/>
      <c r="AA32" s="45"/>
      <c r="AB32" s="45"/>
      <c r="AC32" s="45"/>
      <c r="AD32" s="45"/>
      <c r="AE32" s="45"/>
      <c r="AF32" s="114"/>
      <c r="AG32" s="45"/>
      <c r="AH32" s="45"/>
      <c r="AI32" s="45"/>
      <c r="AJ32" s="45"/>
      <c r="AK32" s="102"/>
      <c r="AQ32" s="102"/>
    </row>
    <row r="33" s="103" customFormat="true" ht="15" hidden="false" customHeight="false" outlineLevel="0" collapsed="false">
      <c r="A33" s="112"/>
      <c r="B33" s="112"/>
      <c r="C33" s="112"/>
      <c r="D33" s="112"/>
      <c r="E33" s="112"/>
      <c r="F33" s="112"/>
      <c r="G33" s="112"/>
      <c r="H33" s="118"/>
      <c r="I33" s="118"/>
      <c r="J33" s="118"/>
      <c r="K33" s="112"/>
      <c r="L33" s="112"/>
      <c r="M33" s="112"/>
      <c r="N33" s="112"/>
      <c r="O33" s="112"/>
      <c r="P33" s="112"/>
      <c r="Q33" s="112"/>
      <c r="R33" s="113"/>
      <c r="S33" s="113"/>
      <c r="T33" s="113"/>
      <c r="U33" s="113"/>
      <c r="V33" s="113"/>
      <c r="W33" s="112"/>
      <c r="X33" s="112"/>
      <c r="Y33" s="123"/>
      <c r="Z33" s="92"/>
      <c r="AA33" s="45"/>
      <c r="AB33" s="45"/>
      <c r="AC33" s="45"/>
      <c r="AD33" s="45"/>
      <c r="AE33" s="45"/>
      <c r="AF33" s="114"/>
      <c r="AG33" s="45"/>
      <c r="AH33" s="45"/>
      <c r="AI33" s="45"/>
      <c r="AJ33" s="45"/>
      <c r="AK33" s="102"/>
      <c r="AQ33" s="102"/>
    </row>
    <row r="34" s="103" customFormat="true" ht="15" hidden="false" customHeight="false" outlineLevel="0" collapsed="false">
      <c r="A34" s="112"/>
      <c r="B34" s="112"/>
      <c r="C34" s="112"/>
      <c r="D34" s="112"/>
      <c r="E34" s="112"/>
      <c r="F34" s="112"/>
      <c r="G34" s="112"/>
      <c r="H34" s="118"/>
      <c r="I34" s="118"/>
      <c r="J34" s="118"/>
      <c r="K34" s="112"/>
      <c r="L34" s="112"/>
      <c r="M34" s="112"/>
      <c r="N34" s="112"/>
      <c r="O34" s="112"/>
      <c r="P34" s="112"/>
      <c r="Q34" s="112"/>
      <c r="R34" s="113"/>
      <c r="S34" s="113"/>
      <c r="T34" s="113"/>
      <c r="U34" s="113"/>
      <c r="V34" s="113"/>
      <c r="W34" s="112"/>
      <c r="X34" s="112"/>
      <c r="Y34" s="123"/>
      <c r="Z34" s="92"/>
      <c r="AA34" s="45"/>
      <c r="AB34" s="45"/>
      <c r="AC34" s="45"/>
      <c r="AD34" s="45"/>
      <c r="AE34" s="45"/>
      <c r="AF34" s="114"/>
      <c r="AG34" s="45"/>
      <c r="AH34" s="45"/>
      <c r="AI34" s="45"/>
      <c r="AJ34" s="45"/>
      <c r="AK34" s="102"/>
      <c r="AQ34" s="102"/>
    </row>
    <row r="35" s="103" customFormat="true" ht="15" hidden="false" customHeight="false" outlineLevel="0" collapsed="false">
      <c r="A35" s="112"/>
      <c r="B35" s="112"/>
      <c r="C35" s="112"/>
      <c r="D35" s="112"/>
      <c r="E35" s="112"/>
      <c r="F35" s="112"/>
      <c r="G35" s="112"/>
      <c r="H35" s="118"/>
      <c r="I35" s="118"/>
      <c r="J35" s="118"/>
      <c r="K35" s="112"/>
      <c r="L35" s="112"/>
      <c r="M35" s="112"/>
      <c r="N35" s="112"/>
      <c r="O35" s="112"/>
      <c r="P35" s="112"/>
      <c r="Q35" s="112"/>
      <c r="R35" s="113"/>
      <c r="S35" s="113"/>
      <c r="T35" s="113"/>
      <c r="U35" s="113"/>
      <c r="V35" s="113"/>
      <c r="W35" s="112"/>
      <c r="X35" s="112"/>
      <c r="Y35" s="112"/>
      <c r="Z35" s="92"/>
      <c r="AA35" s="45"/>
      <c r="AB35" s="45"/>
      <c r="AC35" s="45"/>
      <c r="AD35" s="45"/>
      <c r="AE35" s="45"/>
      <c r="AF35" s="114"/>
      <c r="AG35" s="45"/>
      <c r="AH35" s="45"/>
      <c r="AI35" s="45"/>
      <c r="AJ35" s="45"/>
      <c r="AK35" s="102"/>
      <c r="AQ35" s="102"/>
    </row>
    <row r="36" customFormat="false" ht="15" hidden="false" customHeight="false" outlineLevel="0" collapsed="false">
      <c r="A36" s="112"/>
      <c r="B36" s="112"/>
      <c r="C36" s="112"/>
      <c r="D36" s="112"/>
      <c r="E36" s="112"/>
      <c r="F36" s="112"/>
      <c r="G36" s="112"/>
      <c r="H36" s="118"/>
      <c r="I36" s="118"/>
      <c r="J36" s="118"/>
      <c r="K36" s="112"/>
      <c r="L36" s="112"/>
      <c r="M36" s="112"/>
      <c r="N36" s="112"/>
      <c r="O36" s="112"/>
      <c r="P36" s="112"/>
      <c r="Q36" s="112"/>
      <c r="R36" s="113"/>
      <c r="S36" s="113"/>
      <c r="T36" s="113"/>
      <c r="U36" s="113"/>
      <c r="V36" s="113"/>
      <c r="W36" s="112"/>
      <c r="X36" s="112"/>
      <c r="Y36" s="112"/>
    </row>
    <row r="37" customFormat="false" ht="15" hidden="false" customHeight="false" outlineLevel="0" collapsed="false">
      <c r="A37" s="112"/>
      <c r="B37" s="112"/>
      <c r="C37" s="112"/>
      <c r="D37" s="112"/>
      <c r="E37" s="112"/>
      <c r="F37" s="112"/>
      <c r="G37" s="112"/>
      <c r="H37" s="118"/>
      <c r="I37" s="118"/>
      <c r="J37" s="118"/>
      <c r="K37" s="112"/>
      <c r="L37" s="112"/>
      <c r="M37" s="112"/>
      <c r="N37" s="112"/>
      <c r="O37" s="112"/>
      <c r="P37" s="112"/>
      <c r="Q37" s="112"/>
      <c r="R37" s="113"/>
      <c r="S37" s="113"/>
      <c r="T37" s="113"/>
      <c r="U37" s="113"/>
      <c r="V37" s="113"/>
      <c r="W37" s="112"/>
      <c r="X37" s="112"/>
      <c r="Y37" s="112"/>
    </row>
    <row r="38" customFormat="false" ht="15" hidden="false" customHeight="false" outlineLevel="0" collapsed="false">
      <c r="A38" s="112"/>
      <c r="B38" s="112"/>
      <c r="C38" s="112"/>
      <c r="D38" s="112"/>
      <c r="E38" s="112"/>
      <c r="F38" s="112"/>
      <c r="G38" s="112"/>
      <c r="H38" s="118"/>
      <c r="I38" s="118"/>
      <c r="J38" s="118"/>
      <c r="K38" s="112"/>
      <c r="L38" s="112"/>
      <c r="M38" s="112"/>
      <c r="N38" s="112"/>
      <c r="O38" s="112"/>
      <c r="P38" s="112"/>
      <c r="Q38" s="112"/>
      <c r="R38" s="113"/>
      <c r="S38" s="113"/>
      <c r="T38" s="113"/>
      <c r="U38" s="113"/>
      <c r="V38" s="113"/>
      <c r="W38" s="112"/>
      <c r="X38" s="112"/>
      <c r="Y38" s="112"/>
    </row>
    <row r="39" customFormat="false" ht="15" hidden="false" customHeight="false" outlineLevel="0" collapsed="false">
      <c r="A39" s="112"/>
      <c r="B39" s="112"/>
      <c r="C39" s="112"/>
      <c r="D39" s="112"/>
      <c r="E39" s="112"/>
      <c r="F39" s="112"/>
      <c r="G39" s="112"/>
      <c r="H39" s="118"/>
      <c r="I39" s="118"/>
      <c r="J39" s="118"/>
      <c r="K39" s="112"/>
      <c r="L39" s="112"/>
      <c r="M39" s="112"/>
      <c r="N39" s="112"/>
      <c r="O39" s="112"/>
      <c r="P39" s="112"/>
      <c r="Q39" s="112"/>
      <c r="R39" s="113"/>
      <c r="S39" s="113"/>
      <c r="T39" s="113"/>
      <c r="U39" s="113"/>
      <c r="V39" s="113"/>
      <c r="W39" s="112"/>
      <c r="X39" s="112"/>
      <c r="Y39" s="112"/>
    </row>
    <row r="40" customFormat="false" ht="15" hidden="false" customHeight="false" outlineLevel="0" collapsed="false">
      <c r="A40" s="112"/>
      <c r="B40" s="112"/>
      <c r="C40" s="112"/>
      <c r="D40" s="112"/>
      <c r="E40" s="112"/>
      <c r="F40" s="112"/>
      <c r="G40" s="112"/>
      <c r="H40" s="118"/>
      <c r="I40" s="118"/>
      <c r="J40" s="118"/>
      <c r="K40" s="112"/>
      <c r="L40" s="112"/>
      <c r="M40" s="112"/>
      <c r="N40" s="112"/>
      <c r="O40" s="112"/>
      <c r="P40" s="112"/>
      <c r="Q40" s="112"/>
      <c r="R40" s="113"/>
      <c r="S40" s="113"/>
      <c r="T40" s="113"/>
      <c r="U40" s="113"/>
      <c r="V40" s="113"/>
      <c r="W40" s="112"/>
      <c r="X40" s="112"/>
      <c r="Y40" s="112"/>
    </row>
    <row r="41" customFormat="false" ht="15" hidden="false" customHeight="false" outlineLevel="0" collapsed="false">
      <c r="A41" s="112"/>
      <c r="B41" s="112"/>
      <c r="C41" s="112"/>
      <c r="D41" s="112"/>
      <c r="E41" s="112"/>
      <c r="F41" s="112"/>
      <c r="G41" s="112"/>
      <c r="H41" s="118"/>
      <c r="I41" s="118"/>
      <c r="J41" s="118"/>
      <c r="K41" s="112"/>
      <c r="L41" s="112"/>
      <c r="M41" s="112"/>
      <c r="N41" s="112"/>
      <c r="O41" s="112"/>
      <c r="P41" s="112"/>
      <c r="Q41" s="112"/>
      <c r="R41" s="113"/>
      <c r="S41" s="113"/>
      <c r="T41" s="113"/>
      <c r="U41" s="113"/>
      <c r="V41" s="113"/>
      <c r="W41" s="112"/>
      <c r="X41" s="112"/>
      <c r="Y41" s="112"/>
    </row>
    <row r="42" customFormat="false" ht="15" hidden="false" customHeight="false" outlineLevel="0" collapsed="false">
      <c r="A42" s="112"/>
      <c r="B42" s="112"/>
      <c r="C42" s="112"/>
      <c r="D42" s="112"/>
      <c r="E42" s="112"/>
      <c r="F42" s="112"/>
      <c r="G42" s="112"/>
      <c r="H42" s="118"/>
      <c r="I42" s="118"/>
      <c r="J42" s="118"/>
      <c r="K42" s="112"/>
      <c r="L42" s="112"/>
      <c r="M42" s="112"/>
      <c r="N42" s="112"/>
      <c r="O42" s="112"/>
      <c r="P42" s="112"/>
      <c r="Q42" s="112"/>
      <c r="R42" s="113"/>
      <c r="S42" s="113"/>
      <c r="T42" s="113"/>
      <c r="U42" s="113"/>
      <c r="V42" s="113"/>
      <c r="W42" s="112"/>
      <c r="X42" s="112"/>
      <c r="Y42" s="112"/>
    </row>
    <row r="43" customFormat="false" ht="15" hidden="false" customHeight="false" outlineLevel="0" collapsed="false">
      <c r="A43" s="112"/>
      <c r="B43" s="112"/>
      <c r="C43" s="112"/>
      <c r="D43" s="112"/>
      <c r="E43" s="112"/>
      <c r="F43" s="112"/>
      <c r="G43" s="112"/>
      <c r="H43" s="118"/>
      <c r="I43" s="118"/>
      <c r="J43" s="118"/>
      <c r="K43" s="112"/>
      <c r="L43" s="112"/>
      <c r="M43" s="112"/>
      <c r="N43" s="112"/>
      <c r="O43" s="112"/>
      <c r="P43" s="112"/>
      <c r="Q43" s="112"/>
      <c r="R43" s="113"/>
      <c r="S43" s="113"/>
      <c r="T43" s="113"/>
      <c r="U43" s="113"/>
      <c r="V43" s="113"/>
      <c r="W43" s="112"/>
      <c r="X43" s="112"/>
      <c r="Y43" s="112"/>
    </row>
  </sheetData>
  <mergeCells count="15">
    <mergeCell ref="A16:H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2021-05-18T11:35:43Z</dcterms:created>
  <dc:creator>PorJi</dc:creator>
  <dc:description/>
  <dc:language>en-US</dc:language>
  <cp:lastModifiedBy>cs1 bl.th</cp:lastModifiedBy>
  <dcterms:modified xsi:type="dcterms:W3CDTF">2026-03-12T04:54:43Z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0x010100CCB4EDFC62E5BF4FADEDAC3DAF83135D</vt:lpwstr>
  </property>
  <property fmtid="{D5CDD505-2E9C-101B-9397-08002B2CF9AE}" pid="4" name="MediaServiceImageTags">
    <vt:lpwstr/>
  </property>
  <property fmtid="{D5CDD505-2E9C-101B-9397-08002B2CF9AE}" pid="5" name="Order">
    <vt:r8>12900</vt:r8>
  </property>
  <property fmtid="{D5CDD505-2E9C-101B-9397-08002B2CF9AE}" pid="6" name="TriggerFlowInfo">
    <vt:lpwstr/>
  </property>
  <property fmtid="{D5CDD505-2E9C-101B-9397-08002B2CF9AE}" pid="7" name="_ExtendedDescription">
    <vt:lpwstr/>
  </property>
</Properties>
</file>